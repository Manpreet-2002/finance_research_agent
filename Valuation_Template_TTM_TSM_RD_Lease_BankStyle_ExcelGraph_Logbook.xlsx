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Inputs" sheetId="2" r:id="rId6"/>
    <sheet state="visible" name="Dilution (TSM)" sheetId="3" r:id="rId7"/>
    <sheet state="visible" name="R&amp;D Capitalization" sheetId="4" r:id="rId8"/>
    <sheet state="visible" name="Lease Capitalization" sheetId="5" r:id="rId9"/>
    <sheet state="visible" name="DCF" sheetId="6" r:id="rId10"/>
    <sheet state="visible" name="Sensitivity" sheetId="7" r:id="rId11"/>
    <sheet state="visible" name="Comps" sheetId="8" r:id="rId12"/>
    <sheet state="visible" name="Checks" sheetId="9" r:id="rId13"/>
    <sheet state="visible" name="Sources" sheetId="10" r:id="rId14"/>
    <sheet state="visible" name="Story" sheetId="11" r:id="rId15"/>
    <sheet state="visible" name="Output" sheetId="12" r:id="rId16"/>
    <sheet state="visible" name="Agent Log" sheetId="13" r:id="rId17"/>
  </sheets>
  <definedNames>
    <definedName name="log_assumptions_header">'Agent Log'!$B$220:$K$220</definedName>
    <definedName name="inp_capex_pct">Inputs!$C$29</definedName>
    <definedName name="inp_pess_m5">Inputs!$G$25</definedName>
    <definedName name="inp_m10">Inputs!$C$26</definedName>
    <definedName name="out_enterprise_value_weighted">Output!$C$8</definedName>
    <definedName name="comps_pe">Comps!$F$8:$F$40</definedName>
    <definedName name="inp_base_gt">Inputs!$C$44</definedName>
    <definedName name="inp_opt_wacc">Inputs!$I$43</definedName>
    <definedName name="inp_basic_shares">Inputs!$C$53</definedName>
    <definedName name="out_value_per_share">Output!$C$6</definedName>
    <definedName name="inp_cash">Inputs!$C$49</definedName>
    <definedName name="IN_ERP">Inputs!$C$38</definedName>
    <definedName name="comps_header">Comps!$B$7:$AZ$7</definedName>
    <definedName name="inp_base_g4">Inputs!$C$23</definedName>
    <definedName name="log_data_sources">'Agent Log'!$C$11</definedName>
    <definedName name="out_tsm_diluted_shares">'Dilution (TSM)'!$C$25</definedName>
    <definedName name="inp_px">Inputs!$C$54</definedName>
    <definedName name="story_core_narrative_rows">Story!$C$24:$C$26</definedName>
    <definedName name="story_reinvestment">Story!$B$14</definedName>
    <definedName name="story_memo_hooks">Story!$C$28:$G$30</definedName>
    <definedName name="comps_multiple_count">Comps!$F$5</definedName>
    <definedName name="story_thesis">Story!$B$5</definedName>
    <definedName name="log_actions_firstrow">'Agent Log'!$B$17:$J$17</definedName>
    <definedName name="IN_TaxRate">Inputs!$C$27</definedName>
    <definedName name="comps_multiples_header">Comps!$C$7:$AY$7</definedName>
    <definedName name="inp_opt_g5">Inputs!$I$24</definedName>
    <definedName name="inp_rent_pct">Inputs!$C$32</definedName>
    <definedName name="out_value_ps_pess">Output!$C$15</definedName>
    <definedName name="log_assumptions_table">'Agent Log'!$B$221:$K$246</definedName>
    <definedName name="comps_ev_ebit">Comps!$D$8:$D$40</definedName>
    <definedName name="log_model">'Agent Log'!$C$10</definedName>
    <definedName name="out_equity_value">Output!$C$7</definedName>
    <definedName name="out_terminal_g_opt">Inputs!$I$44</definedName>
    <definedName name="log_end_ts">'Agent Log'!$E$7</definedName>
    <definedName name="sens_grid_full">Sensitivity!$B$6:$G$11</definedName>
    <definedName name="log_tokens">'Agent Log'!$C$12</definedName>
    <definedName name="inp_rent_ttm">Inputs!$C$16</definedName>
    <definedName name="inp_nwc_pct">Inputs!$C$30</definedName>
    <definedName name="log_status">'Agent Log'!$E$6</definedName>
    <definedName name="inp_g4">Inputs!$C$23</definedName>
    <definedName name="log_template_version">'Agent Log'!$C$9</definedName>
    <definedName name="story_sanity_checks">Story!$B$20</definedName>
    <definedName name="log_agent_version">'Agent Log'!$E$9</definedName>
    <definedName name="calc_diluted_shares">Inputs!$C$55</definedName>
    <definedName name="log_run_id">'Agent Log'!$C$6</definedName>
    <definedName name="log_actions_header">'Agent Log'!$B$16:$J$16</definedName>
    <definedName name="log_currency_units">'Agent Log'!$E$11</definedName>
    <definedName name="inp_pess_g2">Inputs!$G$21</definedName>
    <definedName name="IN_Beta">Inputs!$C$39</definedName>
    <definedName name="sources_firstrow">Sources!$B$7:$L$7</definedName>
    <definedName name="inp_tax_ttm">Inputs!$C$11</definedName>
    <definedName name="inp_da_pct">Inputs!$C$28</definedName>
    <definedName name="log_actions_table">'Agent Log'!$B$17:$J$216</definedName>
    <definedName name="comps_table_full">Comps!$B$7:$AZ$200</definedName>
    <definedName name="out_value_ps_weighted">Output!$C$6</definedName>
    <definedName name="IN_Price">Inputs!$C$54</definedName>
    <definedName name="out_equity_value_weighted">Output!$C$7</definedName>
    <definedName name="inp_gt">Inputs!$C$44</definedName>
    <definedName name="sens_terminal_g_vector">Sensitivity!$C$6:$G$6</definedName>
    <definedName name="out_run_id">Output!$C$5</definedName>
    <definedName name="comps_peer_names">Comps!$C$8:$C$200</definedName>
    <definedName name="inp_capex_ttm">Inputs!$C$13</definedName>
    <definedName name="inp_w_pess">Inputs!$G$63</definedName>
    <definedName name="out_value_ps_base">Output!$C$16</definedName>
    <definedName name="out_terminal_g_pess">Inputs!$G$44</definedName>
    <definedName name="inp_base_wacc">Inputs!$C$43</definedName>
    <definedName name="comps_firstrow">Comps!$B$8:$AZ$8</definedName>
    <definedName name="inp_opt_g2">Inputs!$I$21</definedName>
    <definedName name="inp_base_g1">Inputs!$C$20</definedName>
    <definedName name="inp_opt_g4">Inputs!$I$23</definedName>
    <definedName name="inp_opt_gt">Inputs!$I$44</definedName>
    <definedName name="inp_g3">Inputs!$C$22</definedName>
    <definedName name="inp_pess_g3">Inputs!$G$22</definedName>
    <definedName name="inp_rd_ttm">Inputs!$C$15</definedName>
    <definedName name="comps_ev_sales">Comps!$E$8:$E$40</definedName>
    <definedName name="out_diluted_shares">Output!$C$14</definedName>
    <definedName name="inp_w_opt">Inputs!$I$63</definedName>
    <definedName name="out_terminal_g">Output!$C$10</definedName>
    <definedName name="inp_other_adj">Inputs!$C$52</definedName>
    <definedName name="inp_w_base">Inputs!$H$63</definedName>
    <definedName name="log_start_ts">'Agent Log'!$C$7</definedName>
    <definedName name="inp_rev_ttm">Inputs!$C$9</definedName>
    <definedName name="sources_header">Sources!$B$6:$L$6</definedName>
    <definedName name="inp_rf">Inputs!$C$37</definedName>
    <definedName name="comps_notes">Comps!$G$8:$G$40</definedName>
    <definedName name="comps_peer_count">Comps!$F$4</definedName>
    <definedName name="inp_pess_g4">Inputs!$G$23</definedName>
    <definedName name="comps_method_note">Comps!$C$6</definedName>
    <definedName name="story_kpi_to_track_rows">Story!$E$24:$E$26</definedName>
    <definedName name="out_enterprise_value">Output!$C$8</definedName>
    <definedName name="inp_da_ttm">Inputs!$C$12</definedName>
    <definedName name="inp_g1">Inputs!$C$20</definedName>
    <definedName name="inp_rd_pct">Inputs!$C$31</definedName>
    <definedName name="tsm_tranche_header">'Dilution (TSM)'!$B$8:$G$8</definedName>
    <definedName name="inp_tsm_tranche1_note">'Dilution (TSM)'!$G$9</definedName>
    <definedName name="inp_beta">Inputs!$C$39</definedName>
    <definedName name="inp_opt_m10">Inputs!$I$26</definedName>
    <definedName name="inp_ebit_ttm">Inputs!$C$10</definedName>
    <definedName name="OUT_EnterpriseValue">Output!$C$8</definedName>
    <definedName name="inp_g5">Inputs!$C$24</definedName>
    <definedName name="inp_tsm_tranche1_count_mm">'Dilution (TSM)'!$C$9</definedName>
    <definedName name="log_story_table">'Agent Log'!$B$251:$J$286</definedName>
    <definedName name="LOG_Entries">'Agent Log'!$B$16:$J$216</definedName>
    <definedName name="out_value_ps_opt">Output!$C$17</definedName>
    <definedName name="OUT_EquityValue">Output!$C$7</definedName>
    <definedName name="comps_peer_tickers">Comps!$B$8:$B$200</definedName>
    <definedName name="inp_kd">Inputs!$C$41</definedName>
    <definedName name="IN_TerminalGrowth">Inputs!$C$44</definedName>
    <definedName name="inp_pess_g5">Inputs!$G$24</definedName>
    <definedName name="log_story_header">'Agent Log'!$B$250:$J$250</definedName>
    <definedName name="log_assumptions_firstrow">'Agent Log'!$B$221:$K$221</definedName>
    <definedName name="IN_Ticker">Inputs!$C$4</definedName>
    <definedName name="OUT_ValuePerShare">Output!$C$6</definedName>
    <definedName name="inp_g2">Inputs!$C$21</definedName>
    <definedName name="calc_ke">Inputs!$C$40</definedName>
    <definedName name="inp_dNWC_ttm">Inputs!$C$14</definedName>
    <definedName name="comps_multiples_values">Comps!$C$8:$AY$200</definedName>
    <definedName name="out_wacc_pess">Inputs!$G$43</definedName>
    <definedName name="out_terminal_g_base">Inputs!$C$44</definedName>
    <definedName name="story_profitability">Story!$B$11</definedName>
    <definedName name="inp_base_g3">Inputs!$C$22</definedName>
    <definedName name="inp_pess_m10">Inputs!$G$26</definedName>
    <definedName name="comps_target_ebit_ttm">Comps!$C$5</definedName>
    <definedName name="log_engine">'Agent Log'!$E$10</definedName>
    <definedName name="inp_m5">Inputs!$C$25</definedName>
    <definedName name="inp_erp">Inputs!$C$38</definedName>
    <definedName name="story_grid_rows">Story!$B$24:$G$26</definedName>
    <definedName name="sens_grid_header">Sensitivity!$B$6:$G$6</definedName>
    <definedName name="inp_opt_tax">Inputs!$I$27</definedName>
    <definedName name="inp_dw">Inputs!$C$42</definedName>
    <definedName name="inp_tsm_tranche1_strike">'Dilution (TSM)'!$D$9</definedName>
    <definedName name="IN_RiskFreeRate">Inputs!$C$37</definedName>
    <definedName name="inp_cap_lease_toggle">Inputs!$C$59</definedName>
    <definedName name="sens_base_value_ps">Sensitivity!$C$4</definedName>
    <definedName name="comps_table">Comps!$B$8:$AZ$200</definedName>
    <definedName name="story_linked_operating_driver_rows">Story!$D$24:$D$26</definedName>
    <definedName name="sources_table">Sources!$B$7:$L$400</definedName>
    <definedName name="inp_pess_wacc">Inputs!$G$43</definedName>
    <definedName name="inp_base_m5">Inputs!$C$25</definedName>
    <definedName name="calc_wacc">Inputs!$C$43</definedName>
    <definedName name="inp_opt_g3">Inputs!$I$22</definedName>
    <definedName name="inp_base_g5">Inputs!$C$24</definedName>
    <definedName name="inp_tsm_tranche1_type">'Dilution (TSM)'!$E$9</definedName>
    <definedName name="inp_cap_rd_toggle">Inputs!$C$58</definedName>
    <definedName name="inp_tax_norm">Inputs!$C$27</definedName>
    <definedName name="inp_debt">Inputs!$C$50</definedName>
    <definedName name="out_tsm_incremental_shares">'Dilution (TSM)'!$C$24</definedName>
    <definedName name="OUT_TerminalValue">DCF!$C$33</definedName>
    <definedName name="story_growth">Story!$B$8</definedName>
    <definedName name="inp_pess_gt">Inputs!$G$44</definedName>
    <definedName name="log_story_firstrow">'Agent Log'!$B$251:$J$251</definedName>
    <definedName name="inp_base_tax">Inputs!$C$27</definedName>
    <definedName name="inp_opt_m5">Inputs!$I$25</definedName>
    <definedName name="inp_pess_g1">Inputs!$G$20</definedName>
    <definedName name="OUT_WACC">Output!$C$9</definedName>
    <definedName name="inp_base_m10">Inputs!$C$26</definedName>
    <definedName name="inp_ticker">Inputs!$C$4</definedName>
    <definedName name="inp_opt_g1">Inputs!$I$20</definedName>
    <definedName name="sens_grid_values">Sensitivity!$C$7:$G$11</definedName>
    <definedName name="log_cost_usd">'Agent Log'!$E$12</definedName>
    <definedName name="inp_name">Inputs!$E$4</definedName>
    <definedName name="out_wacc_opt">Inputs!$I$43</definedName>
    <definedName name="tsm_tranche_table">'Dilution (TSM)'!$B$9:$G$20</definedName>
    <definedName name="sens_wacc_vector">Sensitivity!$B$7:$B$11</definedName>
    <definedName name="out_wacc_base">Inputs!$C$43</definedName>
    <definedName name="inp_pess_tax">Inputs!$G$27</definedName>
    <definedName name="story_grid_citations">Story!$G$24:$G$26</definedName>
    <definedName name="story_risk">Story!$B$17</definedName>
    <definedName name="comps_target_rev_ttm">Comps!$C$4</definedName>
    <definedName name="story_grid_header">Story!$B$23:$G$23</definedName>
    <definedName name="checks_statuses">Checks!$C$5:$C$17</definedName>
    <definedName name="inp_base_g2">Inputs!$C$21</definedName>
    <definedName name="calc_lease_debt">Inputs!$C$51</definedName>
    <definedName hidden="1" localSheetId="12" name="_xlnm._FilterDatabase">'Agent Log'!$B$16:$J$216</definedName>
  </definedNames>
  <calcPr/>
</workbook>
</file>

<file path=xl/sharedStrings.xml><?xml version="1.0" encoding="utf-8"?>
<sst xmlns="http://schemas.openxmlformats.org/spreadsheetml/2006/main" count="522" uniqueCount="303">
  <si>
    <t>Bank‑Style Valuation Template (TTM + Treasury Stock Method + R&amp;D + Operating Leases)</t>
  </si>
  <si>
    <t>As-of: 2026-02-14  |  Version: v3 (Sheets + Logbook)</t>
  </si>
  <si>
    <t>Workflow</t>
  </si>
  <si>
    <t>1) Fill Inputs (TTM + neutral assumptions in column C).</t>
  </si>
  <si>
    <t>2) Review scenario overrides in Inputs columns G/H/I and set scenario weights (G63:I63).</t>
  </si>
  <si>
    <t>3) Populate Dilution (TSM); optionally populate R&amp;D and Lease modules.</t>
  </si>
  <si>
    <t>4) Confirm Checks has no FAIL and Output weighted fields are populated.</t>
  </si>
  <si>
    <t>5) Generate memo from weighted + scenario outputs; log rationale in Agent Log.</t>
  </si>
  <si>
    <t>Legend</t>
  </si>
  <si>
    <t>Blue text + yellow fill = editable input</t>
  </si>
  <si>
    <t>Red italic text = guidance / guardrails</t>
  </si>
  <si>
    <t>Light blue fill = key outputs</t>
  </si>
  <si>
    <t>Agent contract</t>
  </si>
  <si>
    <t>Write only to named Inputs + module tables; log sources; read only Output for downstream.</t>
  </si>
  <si>
    <t>Sheets engine (Google Sheets API): store spreadsheet in Google Drive, write named ranges, read Output.</t>
  </si>
  <si>
    <t>CONTROL PANEL (Blue/yellow = editable inputs)</t>
  </si>
  <si>
    <t>Ticker</t>
  </si>
  <si>
    <t>Company name</t>
  </si>
  <si>
    <t>Currency / Units</t>
  </si>
  <si>
    <t>USD ($mm)</t>
  </si>
  <si>
    <t>Base year</t>
  </si>
  <si>
    <t>TTM (Trailing Twelve Months)</t>
  </si>
  <si>
    <t>TTM BASE YEAR (Operating)</t>
  </si>
  <si>
    <t>Revenue (TTM)</t>
  </si>
  <si>
    <t>Input</t>
  </si>
  <si>
    <t>TTM = sum last 4 quarters. Reconcile FY+interim if mixing.</t>
  </si>
  <si>
    <t>EBIT (TTM, reported)</t>
  </si>
  <si>
    <t>Effective tax rate (TTM)</t>
  </si>
  <si>
    <t>Depreciation &amp; amortization (TTM)</t>
  </si>
  <si>
    <t>Capex (TTM, PPE purchases)</t>
  </si>
  <si>
    <t>ΔNet working capital (TTM)</t>
  </si>
  <si>
    <t>R&amp;D expense (TTM)</t>
  </si>
  <si>
    <t>Rent/operating lease expense (TTM)</t>
  </si>
  <si>
    <t>FORECAST ASSUMPTIONS</t>
  </si>
  <si>
    <t>SCENARIO ASSUMPTIONS</t>
  </si>
  <si>
    <t>Pessimistic</t>
  </si>
  <si>
    <t>Neutral</t>
  </si>
  <si>
    <t>Optimistic</t>
  </si>
  <si>
    <t>Revenue growth Year 1</t>
  </si>
  <si>
    <t>Editable assumption</t>
  </si>
  <si>
    <t>Growth fades linearly from Year 5 to terminal growth by Year 10.</t>
  </si>
  <si>
    <t>Revenue growth Year 2</t>
  </si>
  <si>
    <t>Revenue growth Year 3</t>
  </si>
  <si>
    <t>Revenue growth Year 4</t>
  </si>
  <si>
    <t>Revenue growth Year 5</t>
  </si>
  <si>
    <t>Target EBIT margin (by Year 5)</t>
  </si>
  <si>
    <t>Terminal EBIT margin (by Year 10)</t>
  </si>
  <si>
    <t>Tax rate (normalized)</t>
  </si>
  <si>
    <t>D&amp;A % of revenue</t>
  </si>
  <si>
    <t>Capex % of revenue</t>
  </si>
  <si>
    <t>ΔNWC % of revenue</t>
  </si>
  <si>
    <t>R&amp;D % of revenue</t>
  </si>
  <si>
    <t>Rent/lease expense % of revenue</t>
  </si>
  <si>
    <t>RISK &amp; DISCOUNTING (WACC) — Guardrail: g ≤ rf</t>
  </si>
  <si>
    <t>Risk‑free rate (rf)</t>
  </si>
  <si>
    <t>Equity risk premium (ERP)</t>
  </si>
  <si>
    <t>Levered beta (βL)</t>
  </si>
  <si>
    <t>Cost of equity (ke)</t>
  </si>
  <si>
    <t>Calculated</t>
  </si>
  <si>
    <t>Pre‑tax cost of debt (kd)</t>
  </si>
  <si>
    <t>Target debt weight (Dw)</t>
  </si>
  <si>
    <t>WACC</t>
  </si>
  <si>
    <t>Terminal growth (g)</t>
  </si>
  <si>
    <t>Hard stops: g ≤ rf and WACC &gt; g.</t>
  </si>
  <si>
    <t>EQUITY BRIDGE &amp; SHARES</t>
  </si>
  <si>
    <t>Cash &amp; marketable securities</t>
  </si>
  <si>
    <t>Total debt (ex‑leases)</t>
  </si>
  <si>
    <t>Lease debt (PV)</t>
  </si>
  <si>
    <t>Other non‑operating adjustments</t>
  </si>
  <si>
    <t>Basic shares outstanding (mm)</t>
  </si>
  <si>
    <t>TSM: fill option/RSU tranches on Dilution tab.</t>
  </si>
  <si>
    <t>Average share price for dilution (P)</t>
  </si>
  <si>
    <t>Diluted shares (mm)</t>
  </si>
  <si>
    <t>Module toggles</t>
  </si>
  <si>
    <t>Capitalize R&amp;D?</t>
  </si>
  <si>
    <t>YES</t>
  </si>
  <si>
    <t>Capitalize operating leases?</t>
  </si>
  <si>
    <t>SCENARIO WEIGHTS (must sum to 100%)</t>
  </si>
  <si>
    <t>Weight sum</t>
  </si>
  <si>
    <t>must equal 1.00</t>
  </si>
  <si>
    <t>DILUTION — TREASURY STOCK METHOD (TSM)</t>
  </si>
  <si>
    <t>Average share price (P)</t>
  </si>
  <si>
    <t>Basic shares (mm)</t>
  </si>
  <si>
    <t>Enter tranches below. OTM options =&gt; 0 incremental shares.</t>
  </si>
  <si>
    <t>Instrument</t>
  </si>
  <si>
    <t>Count (mm)</t>
  </si>
  <si>
    <t>Strike (K)</t>
  </si>
  <si>
    <t>Type (Option/Warrant/RSU)</t>
  </si>
  <si>
    <t>Incremental shares (mm)</t>
  </si>
  <si>
    <t>Notes</t>
  </si>
  <si>
    <t>TSM SUMMARY</t>
  </si>
  <si>
    <t>Total incremental shares (mm)</t>
  </si>
  <si>
    <t>R&amp;D CAPITALIZATION (OPEX → CAPEX)</t>
  </si>
  <si>
    <t>Use module? (YES/NO)</t>
  </si>
  <si>
    <t>Populate past R&amp;D for at least chosen life; outputs feed DCF adjustments.</t>
  </si>
  <si>
    <t>Amortization life (years)</t>
  </si>
  <si>
    <t>INPUT: HISTORICAL R&amp;D (USD mm)</t>
  </si>
  <si>
    <t>Year</t>
  </si>
  <si>
    <t>R&amp;D expense</t>
  </si>
  <si>
    <t>% unamortized</t>
  </si>
  <si>
    <t>Unamortized</t>
  </si>
  <si>
    <t>Amortization</t>
  </si>
  <si>
    <t>Year 0 (TTM)</t>
  </si>
  <si>
    <t>Year -1</t>
  </si>
  <si>
    <t>Year -2</t>
  </si>
  <si>
    <t>Year -3</t>
  </si>
  <si>
    <t>Year -4</t>
  </si>
  <si>
    <t>Year -5</t>
  </si>
  <si>
    <t>Year -6</t>
  </si>
  <si>
    <t>Year -7</t>
  </si>
  <si>
    <t>Year -8</t>
  </si>
  <si>
    <t>Year -9</t>
  </si>
  <si>
    <t>OUTPUTS</t>
  </si>
  <si>
    <t>R&amp;D asset (unamortized)</t>
  </si>
  <si>
    <t>R&amp;D amortization (TTM)</t>
  </si>
  <si>
    <t>EBIT adjustment</t>
  </si>
  <si>
    <t>R&amp;D treated as capex (TTM)</t>
  </si>
  <si>
    <t>OPERATING LEASE CAPITALIZATION</t>
  </si>
  <si>
    <t>Enter commitments Y1–Y5 + thereafter; outputs PV lease debt.</t>
  </si>
  <si>
    <t>Discount rate (pre‑tax kd)</t>
  </si>
  <si>
    <t>Lease life for depreciation (years)</t>
  </si>
  <si>
    <t>INPUT: LEASE COMMITMENTS (USD mm)</t>
  </si>
  <si>
    <t>Commitment</t>
  </si>
  <si>
    <t>Discount factor</t>
  </si>
  <si>
    <t>PV</t>
  </si>
  <si>
    <t>Year 1</t>
  </si>
  <si>
    <t>Year 2</t>
  </si>
  <si>
    <t>Year 3</t>
  </si>
  <si>
    <t>Year 4</t>
  </si>
  <si>
    <t>Year 5</t>
  </si>
  <si>
    <t>Thereafter (total)</t>
  </si>
  <si>
    <t>Assume distributed over N years (below).</t>
  </si>
  <si>
    <t>Assumed years for thereafter (N)</t>
  </si>
  <si>
    <t>Document assumption if timing not disclosed.</t>
  </si>
  <si>
    <t>PV of lease commitments (lease debt)</t>
  </si>
  <si>
    <t>Lease depreciation</t>
  </si>
  <si>
    <t>DCF (FCFF) — TTM base year + optional R&amp;D &amp; lease capitalization</t>
  </si>
  <si>
    <t>Y0 (TTM)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</si>
  <si>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</si>
  <si>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</si>
  <si>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</si>
  <si>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</si>
  <si>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</si>
  <si>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</si>
  <si>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</si>
  <si>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</si>
  <si>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</si>
  <si>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</si>
  <si>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Revenue</t>
  </si>
  <si>
    <t>YoY growth</t>
  </si>
  <si>
    <t>EBIT margin</t>
  </si>
  <si>
    <t>EBIT (reported)</t>
  </si>
  <si>
    <t>R&amp;D amort.</t>
  </si>
  <si>
    <t>Rent/lease exp.</t>
  </si>
  <si>
    <t>EBIT (adjusted)</t>
  </si>
  <si>
    <t>Tax rate</t>
  </si>
  <si>
    <t>NOPAT</t>
  </si>
  <si>
    <t>D&amp;A</t>
  </si>
  <si>
    <t>Non‑cash addbacks</t>
  </si>
  <si>
    <t>Capex (PPE)</t>
  </si>
  <si>
    <t>R&amp;D capex</t>
  </si>
  <si>
    <t>ΔNWC</t>
  </si>
  <si>
    <t>Reinvestment</t>
  </si>
  <si>
    <t>FCFF</t>
  </si>
  <si>
    <t>PV of FCFF</t>
  </si>
  <si>
    <t>TERMINAL VALUE &amp; EQUITY VALUE</t>
  </si>
  <si>
    <t>Terminal year FCFF (Y10)</t>
  </si>
  <si>
    <t>Terminal value</t>
  </si>
  <si>
    <t>PV of terminal value</t>
  </si>
  <si>
    <t>Enterprise value (EV)</t>
  </si>
  <si>
    <t>Equity value</t>
  </si>
  <si>
    <t>Implied value / share</t>
  </si>
  <si>
    <t>SCENARIO: PESSIMISTIC CASE</t>
  </si>
  <si>
    <t>Uses Inputs!G20:I44 scenario controls</t>
  </si>
  <si>
    <t>SCENARIO: OPTIMISTIC CASE</t>
  </si>
  <si>
    <t>Uses Inputs!I20:I44 scenario controls</t>
  </si>
  <si>
    <t>SCENARIO WEIGHTED SUMMARY</t>
  </si>
  <si>
    <t>Pessimistic value / share</t>
  </si>
  <si>
    <t>Neutral value / share</t>
  </si>
  <si>
    <t>Optimistic value / share</t>
  </si>
  <si>
    <t>Weighted value / share</t>
  </si>
  <si>
    <t>Weighted equity value</t>
  </si>
  <si>
    <t>Weighted enterprise value</t>
  </si>
  <si>
    <t>SENSITIVITY — Value/Share vs WACC and Terminal g</t>
  </si>
  <si>
    <t>Base value/share</t>
  </si>
  <si>
    <t>WACC \ g</t>
  </si>
  <si>
    <t>(populate via agent scenario sweep)</t>
  </si>
  <si>
    <t>TRADING COMPS (stub) — agent populates peers + multiples</t>
  </si>
  <si>
    <t>Target revenue (TTM)</t>
  </si>
  <si>
    <t>Target EBIT (TTM)</t>
  </si>
  <si>
    <t>Company</t>
  </si>
  <si>
    <t>EV/EBIT</t>
  </si>
  <si>
    <t>EV/Revenue</t>
  </si>
  <si>
    <t>P/E</t>
  </si>
  <si>
    <t>CHECKS — must have NO FAIL before publishing</t>
  </si>
  <si>
    <t>Check</t>
  </si>
  <si>
    <t>Status</t>
  </si>
  <si>
    <t>Terminal g ≤ rf</t>
  </si>
  <si>
    <t>Long‑run constraint.</t>
  </si>
  <si>
    <t>WACC &gt; g</t>
  </si>
  <si>
    <t>DCF math requires WACC &gt; g.</t>
  </si>
  <si>
    <t>Diluted shares ≥ basic</t>
  </si>
  <si>
    <t>Check TSM table.</t>
  </si>
  <si>
    <t>Capex% ≥ 0</t>
  </si>
  <si>
    <t>Capex% must be non‑negative.</t>
  </si>
  <si>
    <t>Output exists</t>
  </si>
  <si>
    <t>Fill missing inputs if FAIL.</t>
  </si>
  <si>
    <t>Scenario weights sum = 100%</t>
  </si>
  <si>
    <t>Required for weighted valuation.</t>
  </si>
  <si>
    <t>Pessimistic WACC &gt; g</t>
  </si>
  <si>
    <t>Scenario hard constraint.</t>
  </si>
  <si>
    <t>Neutral WACC &gt; g</t>
  </si>
  <si>
    <t>Optimistic WACC &gt; g</t>
  </si>
  <si>
    <t>Pessimistic g &lt;= rf</t>
  </si>
  <si>
    <t>Long-run scenario constraint.</t>
  </si>
  <si>
    <t>Neutral g &lt;= rf</t>
  </si>
  <si>
    <t>Optimistic g &lt;= rf</t>
  </si>
  <si>
    <t>Weighted output exists</t>
  </si>
  <si>
    <t>Must exist before memo publish.</t>
  </si>
  <si>
    <t>DATA PROVENANCE — agent must write sources + dates</t>
  </si>
  <si>
    <t>Record source rows in fixed schema B:L (field_block, source_type, dataset_doc, url, as_of_date, notes, metric, value, unit, transform, citation_id).</t>
  </si>
  <si>
    <t>Field / Block</t>
  </si>
  <si>
    <t>Source Type</t>
  </si>
  <si>
    <t>Dataset / Doc</t>
  </si>
  <si>
    <t>URL</t>
  </si>
  <si>
    <t>As-of date</t>
  </si>
  <si>
    <t>Metric</t>
  </si>
  <si>
    <t>Value</t>
  </si>
  <si>
    <t>Unit</t>
  </si>
  <si>
    <t>Transform</t>
  </si>
  <si>
    <t>Citation ID</t>
  </si>
  <si>
    <t>STORY → NUMBERS (memo prompts)</t>
  </si>
  <si>
    <t>Investment thesis (3–5 bullets)</t>
  </si>
  <si>
    <t>Growth story (drivers + fade)</t>
  </si>
  <si>
    <t>Profitability story (margin path)</t>
  </si>
  <si>
    <t>Reinvestment story (capex/R&amp;D/NWC)</t>
  </si>
  <si>
    <t>Risk story (beta/WACC + sensitivities)</t>
  </si>
  <si>
    <t>Sanity checks (terminal, TV share)</t>
  </si>
  <si>
    <t>SCENARIO STORY GRID (link narrative to assumptions)</t>
  </si>
  <si>
    <t>Scenario</t>
  </si>
  <si>
    <t>Core narrative</t>
  </si>
  <si>
    <t>Linked operating driver</t>
  </si>
  <si>
    <t>KPI to track</t>
  </si>
  <si>
    <t>Disconfirming evidence</t>
  </si>
  <si>
    <t>Citation / source ID</t>
  </si>
  <si>
    <t/>
  </si>
  <si>
    <t>Memo hooks: tie each key claim to scenario assumption and output range.</t>
  </si>
  <si>
    <t>OUTPUT CONTRACT (agent reads only this block)</t>
  </si>
  <si>
    <t>Run ID</t>
  </si>
  <si>
    <t>USD/share</t>
  </si>
  <si>
    <t>USD mm</t>
  </si>
  <si>
    <t>Debt (ex‑leases)</t>
  </si>
  <si>
    <t>Cash</t>
  </si>
  <si>
    <t>Diluted shares</t>
  </si>
  <si>
    <t>mm</t>
  </si>
  <si>
    <t>Pessimistic equity value</t>
  </si>
  <si>
    <t>Neutral equity value</t>
  </si>
  <si>
    <t>Optimistic equity value</t>
  </si>
  <si>
    <t>Pessimistic EV</t>
  </si>
  <si>
    <t>Neutral EV</t>
  </si>
  <si>
    <t>Optimistic EV</t>
  </si>
  <si>
    <t>Pessimistic weight</t>
  </si>
  <si>
    <t>Neutral weight</t>
  </si>
  <si>
    <t>Optimistic weight</t>
  </si>
  <si>
    <t>AGENT LOG (audit trail for this valuation run)</t>
  </si>
  <si>
    <t>Write high-level rationales &amp; sources. Do NOT store private chain-of-thought. Keep entries concise, factual, and reproducible.</t>
  </si>
  <si>
    <t>RUN METADATA</t>
  </si>
  <si>
    <t>Start time (UTC)</t>
  </si>
  <si>
    <t>End time (UTC)</t>
  </si>
  <si>
    <t>Template version</t>
  </si>
  <si>
    <t>v3-sheets-logbook</t>
  </si>
  <si>
    <t>Agent version (git SHA)</t>
  </si>
  <si>
    <t>Model (provider/model)</t>
  </si>
  <si>
    <t>Sheets engine</t>
  </si>
  <si>
    <t>Google Sheets API</t>
  </si>
  <si>
    <t>Data sources</t>
  </si>
  <si>
    <t>Tokens (total)</t>
  </si>
  <si>
    <t>Cost (USD)</t>
  </si>
  <si>
    <t>ACTION LEDGER (one row per step/tool call)</t>
  </si>
  <si>
    <t>Step</t>
  </si>
  <si>
    <t>TS (UTC)</t>
  </si>
  <si>
    <t>Phase</t>
  </si>
  <si>
    <t>Action</t>
  </si>
  <si>
    <t>Target</t>
  </si>
  <si>
    <t>Inputs (summary)</t>
  </si>
  <si>
    <t>Outputs (summary)</t>
  </si>
  <si>
    <t>Citations</t>
  </si>
  <si>
    <t>ASSUMPTION JOURNAL (what the agent changed + why)</t>
  </si>
  <si>
    <t>Assumption</t>
  </si>
  <si>
    <t>Where in model</t>
  </si>
  <si>
    <t>Source</t>
  </si>
  <si>
    <t>Method</t>
  </si>
  <si>
    <t>Rationale (high-level)</t>
  </si>
  <si>
    <t>Confidence</t>
  </si>
  <si>
    <t>Reviewer</t>
  </si>
  <si>
    <t>STORY JOURNAL (scenario narrative -&gt; valuation linkage)</t>
  </si>
  <si>
    <t>Story claim</t>
  </si>
  <si>
    <t>Linked metric / range</t>
  </si>
  <si>
    <t>Supporting evidence</t>
  </si>
  <si>
    <t>Risk to claim</t>
  </si>
  <si>
    <t>Catalyst</t>
  </si>
  <si>
    <t>Update trigger</t>
  </si>
  <si>
    <t>RUN NARRATIVE SUMMARY (1-2 paragraphs, reproducible)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</si>
</sst>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#,##0.0"/>
    <numFmt numFmtId="166" formatCode="0.000"/>
  </numFmts>
  <fonts count="15">
    <font>
      <sz val="11.0"/>
      <color theme="1"/>
      <name val="Calibri"/>
      <scheme val="minor"/>
    </font>
    <font>
      <b/>
      <sz val="16.0"/>
      <color theme="1"/>
      <name val="Calibri"/>
    </font>
    <font>
      <i/>
      <sz val="10.0"/>
      <color rgb="FF555555"/>
      <name val="Calibri"/>
    </font>
    <font>
      <b/>
      <sz val="12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b/>
      <sz val="11.0"/>
      <color rgb="FFFFFFFF"/>
      <name val="Calibri"/>
    </font>
    <font/>
    <font>
      <b/>
      <sz val="10.0"/>
      <color rgb="FF1F4E79"/>
      <name val="Calibri"/>
    </font>
    <font>
      <b/>
      <sz val="10.0"/>
      <color theme="1"/>
      <name val="Calibri"/>
    </font>
    <font>
      <sz val="9.0"/>
      <color rgb="FF666666"/>
      <name val="Calibri"/>
    </font>
    <font>
      <i/>
      <sz val="9.0"/>
      <color rgb="FFC00000"/>
      <name val="Calibri"/>
    </font>
    <font>
      <b/>
      <sz val="10.0"/>
      <color rgb="FFFFFFFF"/>
      <name val="Calibri"/>
    </font>
    <font>
      <b/>
      <sz val="11.0"/>
      <color theme="1"/>
      <name val="Calibri"/>
    </font>
    <font>
      <sz val="10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0B0F16"/>
        <bgColor rgb="FF0B0F16"/>
      </patternFill>
    </fill>
    <fill>
      <patternFill patternType="solid">
        <fgColor rgb="FFFFF2CC"/>
        <bgColor rgb="FFFFF2CC"/>
      </patternFill>
    </fill>
    <fill>
      <patternFill patternType="solid">
        <fgColor rgb="FF1F4E79"/>
        <bgColor rgb="FF1F4E79"/>
      </patternFill>
    </fill>
    <fill>
      <patternFill patternType="solid">
        <fgColor rgb="FFD9E1F2"/>
        <bgColor rgb="FFD9E1F2"/>
      </patternFill>
    </fill>
  </fills>
  <borders count="17">
    <border/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A6A6A6"/>
      </left>
      <top style="thin">
        <color rgb="FFA6A6A6"/>
      </top>
      <bottom style="thin">
        <color rgb="FFA6A6A6"/>
      </bottom>
    </border>
    <border>
      <top style="thin">
        <color rgb="FFA6A6A6"/>
      </top>
      <bottom style="thin">
        <color rgb="FFA6A6A6"/>
      </bottom>
    </border>
    <border>
      <right style="thin">
        <color rgb="FFA6A6A6"/>
      </right>
      <top style="thin">
        <color rgb="FFA6A6A6"/>
      </top>
      <bottom style="thin">
        <color rgb="FFA6A6A6"/>
      </bottom>
    </border>
    <border>
      <left style="thin">
        <color rgb="FFA6A6A6"/>
      </left>
      <top style="thin">
        <color rgb="FFA6A6A6"/>
      </top>
    </border>
    <border>
      <top style="thin">
        <color rgb="FFA6A6A6"/>
      </top>
    </border>
    <border>
      <right style="thin">
        <color rgb="FFA6A6A6"/>
      </right>
      <top style="thin">
        <color rgb="FFA6A6A6"/>
      </top>
    </border>
    <border>
      <left style="thin">
        <color rgb="FFA6A6A6"/>
      </left>
    </border>
    <border>
      <right style="thin">
        <color rgb="FFA6A6A6"/>
      </right>
    </border>
    <border>
      <left style="thin">
        <color rgb="FFA6A6A6"/>
      </left>
      <bottom style="thin">
        <color rgb="FFA6A6A6"/>
      </bottom>
    </border>
    <border>
      <bottom style="thin">
        <color rgb="FFA6A6A6"/>
      </bottom>
    </border>
    <border>
      <right style="thin">
        <color rgb="FFA6A6A6"/>
      </right>
      <bottom style="thin">
        <color rgb="FFA6A6A6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0" fontId="4" numFmtId="0" xfId="0" applyAlignment="1" applyBorder="1" applyFont="1">
      <alignment horizontal="left" vertical="center"/>
    </xf>
    <xf borderId="0" fillId="0" fontId="5" numFmtId="0" xfId="0" applyFont="1"/>
    <xf borderId="2" fillId="2" fontId="4" numFmtId="0" xfId="0" applyAlignment="1" applyBorder="1" applyFill="1" applyFont="1">
      <alignment horizontal="left" shrinkToFit="0" vertical="top" wrapText="1"/>
    </xf>
    <xf borderId="3" fillId="3" fontId="6" numFmtId="0" xfId="0" applyAlignment="1" applyBorder="1" applyFill="1" applyFont="1">
      <alignment horizontal="left" vertical="center"/>
    </xf>
    <xf borderId="4" fillId="0" fontId="7" numFmtId="0" xfId="0" applyBorder="1" applyFont="1"/>
    <xf borderId="5" fillId="0" fontId="7" numFmtId="0" xfId="0" applyBorder="1" applyFont="1"/>
    <xf borderId="1" fillId="4" fontId="8" numFmtId="0" xfId="0" applyAlignment="1" applyBorder="1" applyFill="1" applyFont="1">
      <alignment horizontal="right" vertical="center"/>
    </xf>
    <xf borderId="1" fillId="4" fontId="8" numFmtId="0" xfId="0" applyAlignment="1" applyBorder="1" applyFont="1">
      <alignment horizontal="left" vertical="center"/>
    </xf>
    <xf borderId="1" fillId="0" fontId="9" numFmtId="0" xfId="0" applyAlignment="1" applyBorder="1" applyFont="1">
      <alignment horizontal="left" vertical="center"/>
    </xf>
    <xf borderId="1" fillId="4" fontId="8" numFmtId="3" xfId="0" applyAlignment="1" applyBorder="1" applyFont="1" applyNumberFormat="1">
      <alignment horizontal="right" vertical="center"/>
    </xf>
    <xf borderId="1" fillId="0" fontId="10" numFmtId="0" xfId="0" applyAlignment="1" applyBorder="1" applyFont="1">
      <alignment horizontal="right" vertical="center"/>
    </xf>
    <xf borderId="1" fillId="0" fontId="11" numFmtId="0" xfId="0" applyAlignment="1" applyBorder="1" applyFont="1">
      <alignment horizontal="left" vertical="center"/>
    </xf>
    <xf borderId="1" fillId="4" fontId="8" numFmtId="164" xfId="0" applyAlignment="1" applyBorder="1" applyFont="1" applyNumberFormat="1">
      <alignment horizontal="right" vertical="center"/>
    </xf>
    <xf borderId="2" fillId="3" fontId="6" numFmtId="0" xfId="0" applyAlignment="1" applyBorder="1" applyFont="1">
      <alignment horizontal="left" vertical="center"/>
    </xf>
    <xf borderId="1" fillId="5" fontId="12" numFmtId="0" xfId="0" applyAlignment="1" applyBorder="1" applyFill="1" applyFont="1">
      <alignment horizontal="center" vertical="center"/>
    </xf>
    <xf borderId="0" fillId="0" fontId="11" numFmtId="0" xfId="0" applyFont="1"/>
    <xf borderId="1" fillId="4" fontId="8" numFmtId="10" xfId="0" applyAlignment="1" applyBorder="1" applyFont="1" applyNumberFormat="1">
      <alignment horizontal="right" vertical="center"/>
    </xf>
    <xf borderId="1" fillId="4" fontId="8" numFmtId="2" xfId="0" applyAlignment="1" applyBorder="1" applyFont="1" applyNumberFormat="1">
      <alignment horizontal="right" vertical="center"/>
    </xf>
    <xf borderId="1" fillId="6" fontId="9" numFmtId="10" xfId="0" applyAlignment="1" applyBorder="1" applyFill="1" applyFont="1" applyNumberFormat="1">
      <alignment horizontal="right" vertical="center"/>
    </xf>
    <xf borderId="1" fillId="6" fontId="9" numFmtId="3" xfId="0" applyAlignment="1" applyBorder="1" applyFont="1" applyNumberFormat="1">
      <alignment horizontal="right" vertical="center"/>
    </xf>
    <xf borderId="1" fillId="4" fontId="8" numFmtId="165" xfId="0" applyAlignment="1" applyBorder="1" applyFont="1" applyNumberFormat="1">
      <alignment horizontal="right" vertical="center"/>
    </xf>
    <xf borderId="1" fillId="6" fontId="9" numFmtId="165" xfId="0" applyAlignment="1" applyBorder="1" applyFont="1" applyNumberFormat="1">
      <alignment horizontal="right" vertical="center"/>
    </xf>
    <xf borderId="1" fillId="0" fontId="4" numFmtId="0" xfId="0" applyAlignment="1" applyBorder="1" applyFont="1">
      <alignment horizontal="center" vertical="center"/>
    </xf>
    <xf borderId="1" fillId="4" fontId="8" numFmtId="0" xfId="0" applyAlignment="1" applyBorder="1" applyFont="1">
      <alignment horizontal="center" vertical="center"/>
    </xf>
    <xf borderId="1" fillId="0" fontId="4" numFmtId="0" xfId="0" applyBorder="1" applyFont="1"/>
    <xf borderId="1" fillId="6" fontId="9" numFmtId="2" xfId="0" applyAlignment="1" applyBorder="1" applyFont="1" applyNumberFormat="1">
      <alignment horizontal="right" vertical="center"/>
    </xf>
    <xf borderId="1" fillId="0" fontId="11" numFmtId="0" xfId="0" applyAlignment="1" applyBorder="1" applyFont="1">
      <alignment horizontal="right" vertical="center"/>
    </xf>
    <xf borderId="1" fillId="0" fontId="4" numFmtId="165" xfId="0" applyAlignment="1" applyBorder="1" applyFont="1" applyNumberFormat="1">
      <alignment horizontal="right" vertical="center"/>
    </xf>
    <xf borderId="1" fillId="6" fontId="13" numFmtId="165" xfId="0" applyAlignment="1" applyBorder="1" applyFont="1" applyNumberFormat="1">
      <alignment horizontal="right" vertical="center"/>
    </xf>
    <xf borderId="1" fillId="0" fontId="9" numFmtId="0" xfId="0" applyBorder="1" applyFont="1"/>
    <xf borderId="1" fillId="6" fontId="13" numFmtId="165" xfId="0" applyBorder="1" applyFont="1" applyNumberFormat="1"/>
    <xf borderId="1" fillId="0" fontId="4" numFmtId="0" xfId="0" applyAlignment="1" applyBorder="1" applyFont="1">
      <alignment horizontal="right" vertical="center"/>
    </xf>
    <xf borderId="1" fillId="4" fontId="8" numFmtId="1" xfId="0" applyAlignment="1" applyBorder="1" applyFont="1" applyNumberFormat="1">
      <alignment horizontal="right" vertical="center"/>
    </xf>
    <xf borderId="1" fillId="0" fontId="4" numFmtId="164" xfId="0" applyAlignment="1" applyBorder="1" applyFont="1" applyNumberFormat="1">
      <alignment horizontal="right" vertical="center"/>
    </xf>
    <xf borderId="1" fillId="0" fontId="4" numFmtId="3" xfId="0" applyAlignment="1" applyBorder="1" applyFont="1" applyNumberFormat="1">
      <alignment horizontal="right" vertical="center"/>
    </xf>
    <xf borderId="1" fillId="6" fontId="13" numFmtId="3" xfId="0" applyBorder="1" applyFont="1" applyNumberFormat="1"/>
    <xf borderId="1" fillId="0" fontId="4" numFmtId="10" xfId="0" applyAlignment="1" applyBorder="1" applyFont="1" applyNumberFormat="1">
      <alignment horizontal="right" vertical="center"/>
    </xf>
    <xf borderId="1" fillId="4" fontId="8" numFmtId="1" xfId="0" applyBorder="1" applyFont="1" applyNumberFormat="1"/>
    <xf borderId="1" fillId="0" fontId="11" numFmtId="0" xfId="0" applyBorder="1" applyFont="1"/>
    <xf borderId="1" fillId="0" fontId="4" numFmtId="166" xfId="0" applyAlignment="1" applyBorder="1" applyFont="1" applyNumberFormat="1">
      <alignment horizontal="right" vertical="center"/>
    </xf>
    <xf borderId="1" fillId="0" fontId="14" numFmtId="0" xfId="0" applyBorder="1" applyFont="1"/>
    <xf borderId="1" fillId="0" fontId="14" numFmtId="3" xfId="0" applyAlignment="1" applyBorder="1" applyFont="1" applyNumberFormat="1">
      <alignment horizontal="right" vertical="center"/>
    </xf>
    <xf borderId="1" fillId="0" fontId="14" numFmtId="0" xfId="0" applyAlignment="1" applyBorder="1" applyFont="1">
      <alignment horizontal="right" vertical="center"/>
    </xf>
    <xf borderId="1" fillId="6" fontId="13" numFmtId="3" xfId="0" applyAlignment="1" applyBorder="1" applyFont="1" applyNumberFormat="1">
      <alignment horizontal="right" vertical="center"/>
    </xf>
    <xf borderId="1" fillId="0" fontId="14" numFmtId="165" xfId="0" applyAlignment="1" applyBorder="1" applyFont="1" applyNumberFormat="1">
      <alignment horizontal="right" vertical="center"/>
    </xf>
    <xf borderId="1" fillId="6" fontId="13" numFmtId="2" xfId="0" applyAlignment="1" applyBorder="1" applyFont="1" applyNumberFormat="1">
      <alignment horizontal="right" vertical="center"/>
    </xf>
    <xf borderId="1" fillId="6" fontId="13" numFmtId="164" xfId="0" applyAlignment="1" applyBorder="1" applyFont="1" applyNumberFormat="1">
      <alignment horizontal="right" vertical="center"/>
    </xf>
    <xf borderId="1" fillId="6" fontId="13" numFmtId="2" xfId="0" applyBorder="1" applyFont="1" applyNumberFormat="1"/>
    <xf borderId="1" fillId="5" fontId="12" numFmtId="0" xfId="0" applyBorder="1" applyFont="1"/>
    <xf borderId="1" fillId="5" fontId="12" numFmtId="164" xfId="0" applyAlignment="1" applyBorder="1" applyFont="1" applyNumberFormat="1">
      <alignment horizontal="center" vertical="center"/>
    </xf>
    <xf borderId="1" fillId="6" fontId="9" numFmtId="3" xfId="0" applyBorder="1" applyFont="1" applyNumberFormat="1"/>
    <xf borderId="0" fillId="0" fontId="11" numFmtId="0" xfId="0" applyAlignment="1" applyFont="1">
      <alignment readingOrder="0"/>
    </xf>
    <xf borderId="1" fillId="5" fontId="12" numFmtId="0" xfId="0" applyAlignment="1" applyBorder="1" applyFont="1">
      <alignment horizontal="center" readingOrder="0" vertical="center"/>
    </xf>
    <xf borderId="0" fillId="0" fontId="5" numFmtId="0" xfId="0" applyAlignment="1" applyFont="1">
      <alignment readingOrder="0"/>
    </xf>
    <xf borderId="0" fillId="0" fontId="9" numFmtId="0" xfId="0" applyAlignment="1" applyFont="1">
      <alignment readingOrder="0"/>
    </xf>
    <xf borderId="1" fillId="4" fontId="8" numFmtId="0" xfId="0" applyAlignment="1" applyBorder="1" applyFont="1">
      <alignment horizontal="left" shrinkToFit="0" vertical="top" wrapText="1"/>
    </xf>
    <xf borderId="0" fillId="0" fontId="9" numFmtId="0" xfId="0" applyFont="1"/>
    <xf borderId="1" fillId="4" fontId="8" numFmtId="3" xfId="0" applyAlignment="1" applyBorder="1" applyFont="1" applyNumberFormat="1">
      <alignment horizontal="left" vertical="center"/>
    </xf>
    <xf borderId="6" fillId="0" fontId="11" numFmtId="0" xfId="0" applyAlignment="1" applyBorder="1" applyFont="1">
      <alignment horizontal="left" vertical="center"/>
    </xf>
    <xf borderId="7" fillId="0" fontId="7" numFmtId="0" xfId="0" applyBorder="1" applyFont="1"/>
    <xf borderId="8" fillId="0" fontId="7" numFmtId="0" xfId="0" applyBorder="1" applyFont="1"/>
    <xf borderId="6" fillId="4" fontId="8" numFmtId="3" xfId="0" applyAlignment="1" applyBorder="1" applyFont="1" applyNumberFormat="1">
      <alignment horizontal="left" shrinkToFit="0" vertical="top" wrapText="1"/>
    </xf>
    <xf borderId="2" fillId="3" fontId="6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1" fillId="4" fontId="8" numFmtId="3" xfId="0" applyAlignment="1" applyBorder="1" applyFont="1" applyNumberFormat="1">
      <alignment horizontal="left" shrinkToFit="0" vertical="top" wrapText="1"/>
    </xf>
    <xf borderId="9" fillId="4" fontId="8" numFmtId="3" xfId="0" applyAlignment="1" applyBorder="1" applyFont="1" applyNumberFormat="1">
      <alignment horizontal="left" shrinkToFit="0" vertical="top" wrapText="1"/>
    </xf>
    <xf borderId="10" fillId="0" fontId="7" numFmtId="0" xfId="0" applyBorder="1" applyFont="1"/>
    <xf borderId="11" fillId="0" fontId="7" numFmtId="0" xfId="0" applyBorder="1" applyFont="1"/>
    <xf borderId="12" fillId="0" fontId="7" numFmtId="0" xfId="0" applyBorder="1" applyFont="1"/>
    <xf borderId="13" fillId="0" fontId="7" numFmtId="0" xfId="0" applyBorder="1" applyFont="1"/>
    <xf borderId="14" fillId="0" fontId="7" numFmtId="0" xfId="0" applyBorder="1" applyFont="1"/>
    <xf borderId="15" fillId="0" fontId="7" numFmtId="0" xfId="0" applyBorder="1" applyFont="1"/>
    <xf borderId="16" fillId="0" fontId="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2.0"/>
    <col customWidth="1" min="3" max="3" width="100.0"/>
    <col customWidth="1" min="4" max="26" width="8.71"/>
  </cols>
  <sheetData>
    <row r="2">
      <c r="B2" s="1" t="s">
        <v>0</v>
      </c>
    </row>
    <row r="4">
      <c r="B4" s="2" t="s">
        <v>1</v>
      </c>
    </row>
    <row r="6">
      <c r="B6" s="3" t="s">
        <v>2</v>
      </c>
    </row>
    <row r="7">
      <c r="B7" s="4" t="s">
        <v>3</v>
      </c>
    </row>
    <row r="8">
      <c r="B8" s="4" t="s">
        <v>4</v>
      </c>
    </row>
    <row r="9">
      <c r="B9" s="4" t="s">
        <v>5</v>
      </c>
    </row>
    <row r="10">
      <c r="B10" s="4" t="s">
        <v>6</v>
      </c>
    </row>
    <row r="11">
      <c r="B11" s="4" t="s">
        <v>7</v>
      </c>
    </row>
    <row r="12">
      <c r="B12" s="3" t="s">
        <v>8</v>
      </c>
    </row>
    <row r="13">
      <c r="B13" s="5" t="s">
        <v>9</v>
      </c>
    </row>
    <row r="14">
      <c r="B14" s="5" t="s">
        <v>10</v>
      </c>
    </row>
    <row r="15">
      <c r="B15" s="5" t="s">
        <v>11</v>
      </c>
    </row>
    <row r="17">
      <c r="B17" s="3" t="s">
        <v>12</v>
      </c>
    </row>
    <row r="18">
      <c r="B18" s="6" t="s">
        <v>13</v>
      </c>
    </row>
    <row r="20">
      <c r="B20" s="6" t="s">
        <v>14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3.0"/>
    <col customWidth="1" min="2" max="2" width="42.0"/>
    <col customWidth="1" min="3" max="3" width="20.0"/>
    <col customWidth="1" min="4" max="4" width="22.0"/>
    <col customWidth="1" min="5" max="5" width="60.0"/>
    <col customWidth="1" min="6" max="26" width="8.71"/>
  </cols>
  <sheetData>
    <row r="2" ht="19.5" customHeight="1">
      <c r="B2" s="7" t="s">
        <v>15</v>
      </c>
      <c r="C2" s="8"/>
      <c r="D2" s="8"/>
      <c r="E2" s="9"/>
    </row>
    <row r="4">
      <c r="B4" s="4" t="s">
        <v>16</v>
      </c>
      <c r="C4" s="10"/>
      <c r="D4" s="4" t="s">
        <v>17</v>
      </c>
      <c r="E4" s="11"/>
    </row>
    <row r="5">
      <c r="B5" s="4" t="s">
        <v>18</v>
      </c>
      <c r="C5" s="10" t="s">
        <v>19</v>
      </c>
      <c r="D5" s="4" t="s">
        <v>20</v>
      </c>
      <c r="E5" s="12" t="s">
        <v>21</v>
      </c>
    </row>
    <row r="7" ht="19.5" customHeight="1">
      <c r="B7" s="7" t="s">
        <v>22</v>
      </c>
      <c r="C7" s="8"/>
      <c r="D7" s="8"/>
      <c r="E7" s="9"/>
    </row>
    <row r="9">
      <c r="B9" s="4" t="s">
        <v>23</v>
      </c>
      <c r="C9" s="13"/>
      <c r="D9" s="14" t="s">
        <v>24</v>
      </c>
      <c r="E9" s="15" t="s">
        <v>25</v>
      </c>
    </row>
    <row r="10">
      <c r="B10" s="4" t="s">
        <v>26</v>
      </c>
      <c r="C10" s="13"/>
      <c r="D10" s="14" t="s">
        <v>24</v>
      </c>
      <c r="E10" s="4"/>
    </row>
    <row r="11">
      <c r="B11" s="4" t="s">
        <v>27</v>
      </c>
      <c r="C11" s="16"/>
      <c r="D11" s="14" t="s">
        <v>24</v>
      </c>
      <c r="E11" s="4"/>
    </row>
    <row r="12">
      <c r="B12" s="4" t="s">
        <v>28</v>
      </c>
      <c r="C12" s="13"/>
      <c r="D12" s="14" t="s">
        <v>24</v>
      </c>
      <c r="E12" s="4"/>
    </row>
    <row r="13">
      <c r="B13" s="4" t="s">
        <v>29</v>
      </c>
      <c r="C13" s="13"/>
      <c r="D13" s="14" t="s">
        <v>24</v>
      </c>
      <c r="E13" s="4"/>
    </row>
    <row r="14">
      <c r="B14" s="4" t="s">
        <v>30</v>
      </c>
      <c r="C14" s="13"/>
      <c r="D14" s="14" t="s">
        <v>24</v>
      </c>
      <c r="E14" s="4"/>
    </row>
    <row r="15">
      <c r="B15" s="4" t="s">
        <v>31</v>
      </c>
      <c r="C15" s="13"/>
      <c r="D15" s="14" t="s">
        <v>24</v>
      </c>
      <c r="E15" s="4"/>
    </row>
    <row r="16">
      <c r="B16" s="4" t="s">
        <v>32</v>
      </c>
      <c r="C16" s="13"/>
      <c r="D16" s="14" t="s">
        <v>24</v>
      </c>
      <c r="E16" s="4"/>
    </row>
    <row r="18" ht="19.5" customHeight="1">
      <c r="B18" s="7" t="s">
        <v>33</v>
      </c>
      <c r="C18" s="8"/>
      <c r="D18" s="8"/>
      <c r="E18" s="9"/>
      <c r="G18" s="17" t="s">
        <v>34</v>
      </c>
    </row>
    <row r="19">
      <c r="G19" s="18" t="s">
        <v>35</v>
      </c>
      <c r="H19" s="18" t="s">
        <v>36</v>
      </c>
      <c r="I19" s="18" t="s">
        <v>37</v>
      </c>
    </row>
    <row r="20">
      <c r="B20" s="4" t="s">
        <v>38</v>
      </c>
      <c r="C20" s="16">
        <v>0.05</v>
      </c>
      <c r="D20" s="14" t="s">
        <v>39</v>
      </c>
      <c r="E20" s="19" t="s">
        <v>40</v>
      </c>
      <c r="G20" s="16">
        <f t="shared" ref="G20:G24" si="1">C20-0.02</f>
        <v>0.03</v>
      </c>
      <c r="H20" s="16">
        <f t="shared" ref="H20:H32" si="2">C20</f>
        <v>0.05</v>
      </c>
      <c r="I20" s="16">
        <f t="shared" ref="I20:I24" si="3">C20+0.015</f>
        <v>0.065</v>
      </c>
    </row>
    <row r="21" ht="15.75" customHeight="1">
      <c r="B21" s="4" t="s">
        <v>41</v>
      </c>
      <c r="C21" s="16">
        <v>0.04</v>
      </c>
      <c r="D21" s="14" t="s">
        <v>39</v>
      </c>
      <c r="G21" s="16">
        <f t="shared" si="1"/>
        <v>0.02</v>
      </c>
      <c r="H21" s="16">
        <f t="shared" si="2"/>
        <v>0.04</v>
      </c>
      <c r="I21" s="16">
        <f t="shared" si="3"/>
        <v>0.055</v>
      </c>
    </row>
    <row r="22" ht="15.75" customHeight="1">
      <c r="B22" s="4" t="s">
        <v>42</v>
      </c>
      <c r="C22" s="16">
        <v>0.03</v>
      </c>
      <c r="D22" s="14" t="s">
        <v>39</v>
      </c>
      <c r="G22" s="16">
        <f t="shared" si="1"/>
        <v>0.01</v>
      </c>
      <c r="H22" s="16">
        <f t="shared" si="2"/>
        <v>0.03</v>
      </c>
      <c r="I22" s="16">
        <f t="shared" si="3"/>
        <v>0.045</v>
      </c>
    </row>
    <row r="23" ht="15.75" customHeight="1">
      <c r="B23" s="4" t="s">
        <v>43</v>
      </c>
      <c r="C23" s="16">
        <v>0.03</v>
      </c>
      <c r="D23" s="14" t="s">
        <v>39</v>
      </c>
      <c r="G23" s="16">
        <f t="shared" si="1"/>
        <v>0.01</v>
      </c>
      <c r="H23" s="16">
        <f t="shared" si="2"/>
        <v>0.03</v>
      </c>
      <c r="I23" s="16">
        <f t="shared" si="3"/>
        <v>0.045</v>
      </c>
    </row>
    <row r="24" ht="15.75" customHeight="1">
      <c r="B24" s="4" t="s">
        <v>44</v>
      </c>
      <c r="C24" s="16">
        <v>0.03</v>
      </c>
      <c r="D24" s="14" t="s">
        <v>39</v>
      </c>
      <c r="G24" s="16">
        <f t="shared" si="1"/>
        <v>0.01</v>
      </c>
      <c r="H24" s="16">
        <f t="shared" si="2"/>
        <v>0.03</v>
      </c>
      <c r="I24" s="16">
        <f t="shared" si="3"/>
        <v>0.045</v>
      </c>
    </row>
    <row r="25" ht="15.75" customHeight="1">
      <c r="B25" s="4" t="s">
        <v>45</v>
      </c>
      <c r="C25" s="16">
        <v>0.3</v>
      </c>
      <c r="D25" s="14" t="s">
        <v>39</v>
      </c>
      <c r="G25" s="16">
        <f t="shared" ref="G25:G26" si="4">C25-0.03</f>
        <v>0.27</v>
      </c>
      <c r="H25" s="16">
        <f t="shared" si="2"/>
        <v>0.3</v>
      </c>
      <c r="I25" s="16">
        <f t="shared" ref="I25:I26" si="5">C25+0.03</f>
        <v>0.33</v>
      </c>
    </row>
    <row r="26" ht="15.75" customHeight="1">
      <c r="B26" s="4" t="s">
        <v>46</v>
      </c>
      <c r="C26" s="16">
        <v>0.3</v>
      </c>
      <c r="D26" s="14" t="s">
        <v>39</v>
      </c>
      <c r="G26" s="16">
        <f t="shared" si="4"/>
        <v>0.27</v>
      </c>
      <c r="H26" s="16">
        <f t="shared" si="2"/>
        <v>0.3</v>
      </c>
      <c r="I26" s="16">
        <f t="shared" si="5"/>
        <v>0.33</v>
      </c>
    </row>
    <row r="27" ht="15.75" customHeight="1">
      <c r="B27" s="4" t="s">
        <v>47</v>
      </c>
      <c r="C27" s="16">
        <v>0.18</v>
      </c>
      <c r="D27" s="14" t="s">
        <v>39</v>
      </c>
      <c r="G27" s="16">
        <f>C27+0.005</f>
        <v>0.185</v>
      </c>
      <c r="H27" s="16">
        <f t="shared" si="2"/>
        <v>0.18</v>
      </c>
      <c r="I27" s="16">
        <f>MAX(C27-0.005,0)</f>
        <v>0.175</v>
      </c>
    </row>
    <row r="28" ht="15.75" customHeight="1">
      <c r="B28" s="4" t="s">
        <v>48</v>
      </c>
      <c r="C28" s="16">
        <v>0.03</v>
      </c>
      <c r="D28" s="14" t="s">
        <v>39</v>
      </c>
      <c r="G28" s="16">
        <f>C28</f>
        <v>0.03</v>
      </c>
      <c r="H28" s="16">
        <f t="shared" si="2"/>
        <v>0.03</v>
      </c>
      <c r="I28" s="16">
        <f>C28</f>
        <v>0.03</v>
      </c>
    </row>
    <row r="29" ht="15.75" customHeight="1">
      <c r="B29" s="4" t="s">
        <v>49</v>
      </c>
      <c r="C29" s="16">
        <v>0.02</v>
      </c>
      <c r="D29" s="14" t="s">
        <v>39</v>
      </c>
      <c r="G29" s="16">
        <f t="shared" ref="G29:G30" si="6">C29+0.005</f>
        <v>0.025</v>
      </c>
      <c r="H29" s="16">
        <f t="shared" si="2"/>
        <v>0.02</v>
      </c>
      <c r="I29" s="16">
        <f>MAX(C29-0.005,0)</f>
        <v>0.015</v>
      </c>
    </row>
    <row r="30" ht="15.75" customHeight="1">
      <c r="B30" s="4" t="s">
        <v>50</v>
      </c>
      <c r="C30" s="16">
        <v>0.0</v>
      </c>
      <c r="D30" s="14" t="s">
        <v>39</v>
      </c>
      <c r="G30" s="16">
        <f t="shared" si="6"/>
        <v>0.005</v>
      </c>
      <c r="H30" s="16">
        <f t="shared" si="2"/>
        <v>0</v>
      </c>
      <c r="I30" s="16">
        <f>C30-0.005</f>
        <v>-0.005</v>
      </c>
    </row>
    <row r="31" ht="15.75" customHeight="1">
      <c r="B31" s="4" t="s">
        <v>51</v>
      </c>
      <c r="C31" s="16">
        <v>0.07</v>
      </c>
      <c r="D31" s="14" t="s">
        <v>39</v>
      </c>
      <c r="G31" s="16">
        <f>MAX(C31-0.01,0)</f>
        <v>0.06</v>
      </c>
      <c r="H31" s="16">
        <f t="shared" si="2"/>
        <v>0.07</v>
      </c>
      <c r="I31" s="16">
        <f>C31+0.01</f>
        <v>0.08</v>
      </c>
    </row>
    <row r="32" ht="15.75" customHeight="1">
      <c r="B32" s="4" t="s">
        <v>52</v>
      </c>
      <c r="C32" s="16">
        <v>0.01</v>
      </c>
      <c r="D32" s="14" t="s">
        <v>39</v>
      </c>
      <c r="G32" s="16">
        <f>C32+0.003</f>
        <v>0.013</v>
      </c>
      <c r="H32" s="16">
        <f t="shared" si="2"/>
        <v>0.01</v>
      </c>
      <c r="I32" s="16">
        <f>MAX(C32-0.003,0)</f>
        <v>0.007</v>
      </c>
    </row>
    <row r="33" ht="15.75" customHeight="1"/>
    <row r="34" ht="15.75" customHeight="1"/>
    <row r="35" ht="19.5" customHeight="1">
      <c r="B35" s="7" t="s">
        <v>53</v>
      </c>
      <c r="C35" s="8"/>
      <c r="D35" s="8"/>
      <c r="E35" s="9"/>
    </row>
    <row r="36" ht="15.75" customHeight="1">
      <c r="G36" s="18" t="s">
        <v>35</v>
      </c>
      <c r="H36" s="18" t="s">
        <v>36</v>
      </c>
      <c r="I36" s="18" t="s">
        <v>37</v>
      </c>
    </row>
    <row r="37" ht="15.75" customHeight="1">
      <c r="B37" s="4" t="s">
        <v>54</v>
      </c>
      <c r="C37" s="20">
        <v>0.0425</v>
      </c>
      <c r="D37" s="14" t="s">
        <v>24</v>
      </c>
      <c r="G37" s="20">
        <f>C37</f>
        <v>0.0425</v>
      </c>
      <c r="H37" s="20">
        <f t="shared" ref="H37:H39" si="7">C37</f>
        <v>0.0425</v>
      </c>
      <c r="I37" s="20">
        <f>C37</f>
        <v>0.0425</v>
      </c>
    </row>
    <row r="38" ht="15.75" customHeight="1">
      <c r="B38" s="4" t="s">
        <v>55</v>
      </c>
      <c r="C38" s="20">
        <v>0.05</v>
      </c>
      <c r="D38" s="14" t="s">
        <v>24</v>
      </c>
      <c r="G38" s="20">
        <f>C38+0.005</f>
        <v>0.055</v>
      </c>
      <c r="H38" s="20">
        <f t="shared" si="7"/>
        <v>0.05</v>
      </c>
      <c r="I38" s="20">
        <f>MAX(C38-0.005,0)</f>
        <v>0.045</v>
      </c>
    </row>
    <row r="39" ht="15.75" customHeight="1">
      <c r="B39" s="4" t="s">
        <v>56</v>
      </c>
      <c r="C39" s="21">
        <v>1.1</v>
      </c>
      <c r="D39" s="14" t="s">
        <v>24</v>
      </c>
      <c r="G39" s="20">
        <f>C39+0.1</f>
        <v>1.2</v>
      </c>
      <c r="H39" s="20">
        <f t="shared" si="7"/>
        <v>1.1</v>
      </c>
      <c r="I39" s="20">
        <f>MAX(C39-0.1,0)</f>
        <v>1</v>
      </c>
    </row>
    <row r="40" ht="15.75" customHeight="1">
      <c r="B40" s="4" t="s">
        <v>57</v>
      </c>
      <c r="C40" s="22">
        <f>C37 + C39*C38</f>
        <v>0.0975</v>
      </c>
      <c r="D40" s="14" t="s">
        <v>58</v>
      </c>
      <c r="G40" s="22">
        <f t="shared" ref="G40:I40" si="8">G37 + G39*G38</f>
        <v>0.1085</v>
      </c>
      <c r="H40" s="22">
        <f t="shared" si="8"/>
        <v>0.0975</v>
      </c>
      <c r="I40" s="22">
        <f t="shared" si="8"/>
        <v>0.0875</v>
      </c>
    </row>
    <row r="41" ht="15.75" customHeight="1">
      <c r="B41" s="4" t="s">
        <v>59</v>
      </c>
      <c r="C41" s="20">
        <v>0.055</v>
      </c>
      <c r="D41" s="14" t="s">
        <v>24</v>
      </c>
      <c r="G41" s="20">
        <f>C41+0.005</f>
        <v>0.06</v>
      </c>
      <c r="H41" s="20">
        <f t="shared" ref="H41:H42" si="9">C41</f>
        <v>0.055</v>
      </c>
      <c r="I41" s="20">
        <f>MAX(C41-0.005,0)</f>
        <v>0.05</v>
      </c>
    </row>
    <row r="42" ht="15.75" customHeight="1">
      <c r="B42" s="4" t="s">
        <v>60</v>
      </c>
      <c r="C42" s="16">
        <v>0.1</v>
      </c>
      <c r="D42" s="14" t="s">
        <v>24</v>
      </c>
      <c r="G42" s="20">
        <f>MIN(C42+0.05,0.8)</f>
        <v>0.15</v>
      </c>
      <c r="H42" s="20">
        <f t="shared" si="9"/>
        <v>0.1</v>
      </c>
      <c r="I42" s="20">
        <f>MAX(C42-0.05,0)</f>
        <v>0.05</v>
      </c>
    </row>
    <row r="43" ht="15.75" customHeight="1">
      <c r="B43" s="4" t="s">
        <v>61</v>
      </c>
      <c r="C43" s="22">
        <f>C40*(1-C42) + C41*(1-C27)*C42</f>
        <v>0.09226</v>
      </c>
      <c r="D43" s="14" t="s">
        <v>58</v>
      </c>
      <c r="G43" s="22">
        <f t="shared" ref="G43:I43" si="10">G40*(1-G42) + G41*(1-G27)*G42</f>
        <v>0.09956</v>
      </c>
      <c r="H43" s="22">
        <f t="shared" si="10"/>
        <v>0.09226</v>
      </c>
      <c r="I43" s="22">
        <f t="shared" si="10"/>
        <v>0.0851875</v>
      </c>
    </row>
    <row r="44" ht="15.75" customHeight="1">
      <c r="B44" s="4" t="s">
        <v>62</v>
      </c>
      <c r="C44" s="20">
        <v>0.025</v>
      </c>
      <c r="D44" s="14" t="s">
        <v>24</v>
      </c>
      <c r="E44" s="19" t="s">
        <v>63</v>
      </c>
      <c r="G44" s="20">
        <f>MAX(C44-0.0075,0.005)</f>
        <v>0.0175</v>
      </c>
      <c r="H44" s="20">
        <f>C44</f>
        <v>0.025</v>
      </c>
      <c r="I44" s="20">
        <f>MIN(C44+0.005,I37-0.0025)</f>
        <v>0.03</v>
      </c>
    </row>
    <row r="45" ht="15.75" customHeight="1"/>
    <row r="46" ht="15.75" customHeight="1"/>
    <row r="47" ht="19.5" customHeight="1">
      <c r="B47" s="7" t="s">
        <v>64</v>
      </c>
      <c r="C47" s="8"/>
      <c r="D47" s="8"/>
      <c r="E47" s="9"/>
    </row>
    <row r="48" ht="15.75" customHeight="1"/>
    <row r="49" ht="15.75" customHeight="1">
      <c r="B49" s="4" t="s">
        <v>65</v>
      </c>
      <c r="C49" s="13"/>
      <c r="D49" s="14" t="s">
        <v>24</v>
      </c>
    </row>
    <row r="50" ht="15.75" customHeight="1">
      <c r="B50" s="4" t="s">
        <v>66</v>
      </c>
      <c r="C50" s="13"/>
      <c r="D50" s="14" t="s">
        <v>24</v>
      </c>
    </row>
    <row r="51" ht="15.75" customHeight="1">
      <c r="B51" s="4" t="s">
        <v>67</v>
      </c>
      <c r="C51" s="23">
        <f>'Lease Capitalization'!C19</f>
        <v>0</v>
      </c>
      <c r="D51" s="14" t="s">
        <v>58</v>
      </c>
    </row>
    <row r="52" ht="15.75" customHeight="1">
      <c r="B52" s="4" t="s">
        <v>68</v>
      </c>
      <c r="C52" s="13"/>
      <c r="D52" s="14" t="s">
        <v>24</v>
      </c>
    </row>
    <row r="53" ht="15.75" customHeight="1">
      <c r="B53" s="4" t="s">
        <v>69</v>
      </c>
      <c r="C53" s="24"/>
      <c r="D53" s="14" t="s">
        <v>24</v>
      </c>
      <c r="E53" s="19" t="s">
        <v>70</v>
      </c>
    </row>
    <row r="54" ht="15.75" customHeight="1">
      <c r="B54" s="4" t="s">
        <v>71</v>
      </c>
      <c r="C54" s="21"/>
      <c r="D54" s="14" t="s">
        <v>24</v>
      </c>
    </row>
    <row r="55" ht="15.75" customHeight="1">
      <c r="B55" s="4" t="s">
        <v>72</v>
      </c>
      <c r="C55" s="25">
        <f>'Dilution (TSM)'!C25</f>
        <v>0</v>
      </c>
      <c r="D55" s="14" t="s">
        <v>58</v>
      </c>
    </row>
    <row r="56" ht="15.75" customHeight="1"/>
    <row r="57" ht="15.75" customHeight="1">
      <c r="B57" s="12" t="s">
        <v>73</v>
      </c>
      <c r="C57" s="26"/>
    </row>
    <row r="58" ht="15.75" customHeight="1">
      <c r="B58" s="4" t="s">
        <v>74</v>
      </c>
      <c r="C58" s="27" t="s">
        <v>75</v>
      </c>
    </row>
    <row r="59" ht="15.75" customHeight="1">
      <c r="B59" s="4" t="s">
        <v>76</v>
      </c>
      <c r="C59" s="27" t="s">
        <v>75</v>
      </c>
    </row>
    <row r="60" ht="15.75" customHeight="1"/>
    <row r="61" ht="15.75" customHeight="1">
      <c r="B61" s="17" t="s">
        <v>77</v>
      </c>
    </row>
    <row r="62" ht="15.75" customHeight="1">
      <c r="G62" s="18" t="s">
        <v>35</v>
      </c>
      <c r="H62" s="18" t="s">
        <v>36</v>
      </c>
      <c r="I62" s="18" t="s">
        <v>37</v>
      </c>
    </row>
    <row r="63" ht="15.75" customHeight="1">
      <c r="G63" s="16">
        <v>0.25</v>
      </c>
      <c r="H63" s="16">
        <v>0.5</v>
      </c>
      <c r="I63" s="16">
        <v>0.25</v>
      </c>
    </row>
    <row r="64" ht="15.75" customHeight="1">
      <c r="B64" s="4" t="s">
        <v>78</v>
      </c>
      <c r="G64" s="22">
        <f>SUM(G63:I63)</f>
        <v>1</v>
      </c>
      <c r="H64" s="4" t="s">
        <v>79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E2"/>
    <mergeCell ref="B7:E7"/>
    <mergeCell ref="B18:E18"/>
    <mergeCell ref="B35:E35"/>
    <mergeCell ref="B47:E47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4.43" defaultRowHeight="15.0"/>
  <cols>
    <col customWidth="1" min="1" max="1" width="3.0"/>
    <col customWidth="1" min="2" max="4" width="18.0"/>
    <col customWidth="1" min="5" max="6" width="22.0"/>
    <col customWidth="1" min="7" max="7" width="44.0"/>
    <col customWidth="1" min="8" max="26" width="8.71"/>
  </cols>
  <sheetData>
    <row r="2" ht="19.5" customHeight="1">
      <c r="B2" s="7" t="s">
        <v>80</v>
      </c>
      <c r="C2" s="8"/>
      <c r="D2" s="8"/>
      <c r="E2" s="8"/>
      <c r="F2" s="8"/>
      <c r="G2" s="9"/>
    </row>
    <row r="4">
      <c r="B4" s="28" t="s">
        <v>81</v>
      </c>
      <c r="C4" s="29" t="str">
        <f>Inputs!C54</f>
        <v/>
      </c>
    </row>
    <row r="5">
      <c r="B5" s="28" t="s">
        <v>82</v>
      </c>
      <c r="C5" s="25" t="str">
        <f>Inputs!C53</f>
        <v/>
      </c>
    </row>
    <row r="6">
      <c r="B6" s="28"/>
      <c r="C6" s="30" t="s">
        <v>83</v>
      </c>
    </row>
    <row r="8" ht="18.0" customHeight="1">
      <c r="B8" s="18" t="s">
        <v>84</v>
      </c>
      <c r="C8" s="18" t="s">
        <v>85</v>
      </c>
      <c r="D8" s="18" t="s">
        <v>86</v>
      </c>
      <c r="E8" s="18" t="s">
        <v>87</v>
      </c>
      <c r="F8" s="18" t="s">
        <v>88</v>
      </c>
      <c r="G8" s="18" t="s">
        <v>89</v>
      </c>
    </row>
    <row r="9">
      <c r="B9" s="4"/>
      <c r="C9" s="24"/>
      <c r="D9" s="24"/>
      <c r="E9" s="24"/>
      <c r="F9" s="31" t="str">
        <f t="shared" ref="F9:F20" si="1">IF(UPPER(E9)="RSU",C9,IF(AND(C9&lt;&gt;"",D9&lt;&gt;"",$C$4&lt;&gt;""),C9*MAX(0,1-D9/$C$4),""))</f>
        <v/>
      </c>
      <c r="G9" s="4"/>
    </row>
    <row r="10">
      <c r="B10" s="4"/>
      <c r="C10" s="24"/>
      <c r="D10" s="24"/>
      <c r="E10" s="24"/>
      <c r="F10" s="31" t="str">
        <f t="shared" si="1"/>
        <v/>
      </c>
      <c r="G10" s="4"/>
    </row>
    <row r="11">
      <c r="B11" s="4"/>
      <c r="C11" s="24"/>
      <c r="D11" s="24"/>
      <c r="E11" s="24"/>
      <c r="F11" s="31" t="str">
        <f t="shared" si="1"/>
        <v/>
      </c>
      <c r="G11" s="4"/>
    </row>
    <row r="12">
      <c r="B12" s="4"/>
      <c r="C12" s="24"/>
      <c r="D12" s="24"/>
      <c r="E12" s="24"/>
      <c r="F12" s="31" t="str">
        <f t="shared" si="1"/>
        <v/>
      </c>
      <c r="G12" s="4"/>
    </row>
    <row r="13">
      <c r="B13" s="4"/>
      <c r="C13" s="24"/>
      <c r="D13" s="24"/>
      <c r="E13" s="24"/>
      <c r="F13" s="31" t="str">
        <f t="shared" si="1"/>
        <v/>
      </c>
      <c r="G13" s="4"/>
    </row>
    <row r="14">
      <c r="B14" s="4"/>
      <c r="C14" s="32"/>
      <c r="D14" s="24"/>
      <c r="E14" s="24"/>
      <c r="F14" s="31" t="str">
        <f t="shared" si="1"/>
        <v/>
      </c>
      <c r="G14" s="4"/>
    </row>
    <row r="15">
      <c r="B15" s="4"/>
      <c r="C15" s="24"/>
      <c r="D15" s="24"/>
      <c r="E15" s="24"/>
      <c r="F15" s="31" t="str">
        <f t="shared" si="1"/>
        <v/>
      </c>
      <c r="G15" s="4"/>
    </row>
    <row r="16">
      <c r="B16" s="4"/>
      <c r="C16" s="24"/>
      <c r="D16" s="24"/>
      <c r="E16" s="24"/>
      <c r="F16" s="31" t="str">
        <f t="shared" si="1"/>
        <v/>
      </c>
      <c r="G16" s="4"/>
    </row>
    <row r="17">
      <c r="B17" s="4"/>
      <c r="C17" s="24"/>
      <c r="D17" s="24"/>
      <c r="E17" s="24"/>
      <c r="F17" s="31" t="str">
        <f t="shared" si="1"/>
        <v/>
      </c>
      <c r="G17" s="4"/>
    </row>
    <row r="18">
      <c r="B18" s="4"/>
      <c r="C18" s="24"/>
      <c r="D18" s="24"/>
      <c r="E18" s="24"/>
      <c r="F18" s="31" t="str">
        <f t="shared" si="1"/>
        <v/>
      </c>
      <c r="G18" s="4"/>
    </row>
    <row r="19">
      <c r="B19" s="4"/>
      <c r="C19" s="24"/>
      <c r="D19" s="24"/>
      <c r="E19" s="24"/>
      <c r="F19" s="31" t="str">
        <f t="shared" si="1"/>
        <v/>
      </c>
      <c r="G19" s="4"/>
    </row>
    <row r="20">
      <c r="B20" s="4"/>
      <c r="C20" s="24"/>
      <c r="D20" s="24"/>
      <c r="E20" s="24"/>
      <c r="F20" s="31" t="str">
        <f t="shared" si="1"/>
        <v/>
      </c>
      <c r="G20" s="4"/>
    </row>
    <row r="21" ht="15.75" customHeight="1"/>
    <row r="22" ht="19.5" customHeight="1">
      <c r="B22" s="7" t="s">
        <v>90</v>
      </c>
      <c r="C22" s="8"/>
      <c r="D22" s="8"/>
      <c r="E22" s="8"/>
      <c r="F22" s="8"/>
      <c r="G22" s="9"/>
    </row>
    <row r="23" ht="15.75" customHeight="1"/>
    <row r="24" ht="15.75" customHeight="1">
      <c r="B24" s="33" t="s">
        <v>91</v>
      </c>
      <c r="C24" s="34">
        <f>SUM(F9:F20)</f>
        <v>0</v>
      </c>
    </row>
    <row r="25" ht="15.75" customHeight="1">
      <c r="B25" s="33" t="s">
        <v>72</v>
      </c>
      <c r="C25" s="34">
        <f>C5+C24</f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G2"/>
    <mergeCell ref="B22:G2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4.43" defaultRowHeight="15.0"/>
  <cols>
    <col customWidth="1" min="1" max="1" width="3.0"/>
    <col customWidth="1" min="2" max="2" width="30.0"/>
    <col customWidth="1" min="3" max="5" width="18.0"/>
    <col customWidth="1" min="6" max="6" width="48.0"/>
    <col customWidth="1" min="7" max="26" width="8.71"/>
  </cols>
  <sheetData>
    <row r="2" ht="19.5" customHeight="1">
      <c r="B2" s="7" t="s">
        <v>92</v>
      </c>
      <c r="C2" s="8"/>
      <c r="D2" s="8"/>
      <c r="E2" s="8"/>
      <c r="F2" s="9"/>
    </row>
    <row r="4">
      <c r="B4" s="4" t="s">
        <v>93</v>
      </c>
      <c r="C4" s="35" t="str">
        <f>Inputs!C58</f>
        <v>YES</v>
      </c>
      <c r="F4" s="19" t="s">
        <v>94</v>
      </c>
    </row>
    <row r="5">
      <c r="B5" s="4" t="s">
        <v>95</v>
      </c>
      <c r="C5" s="36">
        <v>5.0</v>
      </c>
    </row>
    <row r="7" ht="19.5" customHeight="1">
      <c r="B7" s="7" t="s">
        <v>96</v>
      </c>
      <c r="C7" s="8"/>
      <c r="D7" s="8"/>
      <c r="E7" s="8"/>
      <c r="F7" s="9"/>
    </row>
    <row r="8" ht="18.0" customHeight="1">
      <c r="B8" s="18" t="s">
        <v>97</v>
      </c>
      <c r="C8" s="18" t="s">
        <v>98</v>
      </c>
      <c r="D8" s="18" t="s">
        <v>99</v>
      </c>
      <c r="E8" s="18" t="s">
        <v>100</v>
      </c>
      <c r="F8" s="18" t="s">
        <v>101</v>
      </c>
      <c r="G8" s="18" t="s">
        <v>89</v>
      </c>
    </row>
    <row r="9">
      <c r="B9" s="4" t="s">
        <v>102</v>
      </c>
      <c r="C9" s="13" t="str">
        <f>Inputs!C15</f>
        <v/>
      </c>
      <c r="D9" s="37">
        <f>MAX(0,($C$5-0)/$C$5)</f>
        <v>1</v>
      </c>
      <c r="E9" s="38">
        <f t="shared" ref="E9:E18" si="1">C9*D9</f>
        <v>0</v>
      </c>
      <c r="F9" s="38" t="str">
        <f t="shared" ref="F9:F18" si="2">IF(C9="","",C9/$C$5)</f>
        <v/>
      </c>
      <c r="G9" s="4"/>
    </row>
    <row r="10">
      <c r="B10" s="4" t="s">
        <v>103</v>
      </c>
      <c r="C10" s="13"/>
      <c r="D10" s="37">
        <f>MAX(0,($C$5-1)/$C$5)</f>
        <v>0.8</v>
      </c>
      <c r="E10" s="38">
        <f t="shared" si="1"/>
        <v>0</v>
      </c>
      <c r="F10" s="38" t="str">
        <f t="shared" si="2"/>
        <v/>
      </c>
      <c r="G10" s="4"/>
    </row>
    <row r="11">
      <c r="B11" s="4" t="s">
        <v>104</v>
      </c>
      <c r="C11" s="13"/>
      <c r="D11" s="37">
        <f>MAX(0,($C$5-2)/$C$5)</f>
        <v>0.6</v>
      </c>
      <c r="E11" s="38">
        <f t="shared" si="1"/>
        <v>0</v>
      </c>
      <c r="F11" s="38" t="str">
        <f t="shared" si="2"/>
        <v/>
      </c>
      <c r="G11" s="4"/>
    </row>
    <row r="12">
      <c r="B12" s="4" t="s">
        <v>105</v>
      </c>
      <c r="C12" s="13"/>
      <c r="D12" s="37">
        <f>MAX(0,($C$5-3)/$C$5)</f>
        <v>0.4</v>
      </c>
      <c r="E12" s="38">
        <f t="shared" si="1"/>
        <v>0</v>
      </c>
      <c r="F12" s="38" t="str">
        <f t="shared" si="2"/>
        <v/>
      </c>
      <c r="G12" s="4"/>
    </row>
    <row r="13">
      <c r="B13" s="4" t="s">
        <v>106</v>
      </c>
      <c r="C13" s="13"/>
      <c r="D13" s="37">
        <f>MAX(0,($C$5-4)/$C$5)</f>
        <v>0.2</v>
      </c>
      <c r="E13" s="38">
        <f t="shared" si="1"/>
        <v>0</v>
      </c>
      <c r="F13" s="38" t="str">
        <f t="shared" si="2"/>
        <v/>
      </c>
      <c r="G13" s="4"/>
    </row>
    <row r="14">
      <c r="B14" s="4" t="s">
        <v>107</v>
      </c>
      <c r="C14" s="13"/>
      <c r="D14" s="37">
        <f>MAX(0,($C$5-5)/$C$5)</f>
        <v>0</v>
      </c>
      <c r="E14" s="38">
        <f t="shared" si="1"/>
        <v>0</v>
      </c>
      <c r="F14" s="38" t="str">
        <f t="shared" si="2"/>
        <v/>
      </c>
      <c r="G14" s="4"/>
    </row>
    <row r="15">
      <c r="B15" s="4" t="s">
        <v>108</v>
      </c>
      <c r="C15" s="13"/>
      <c r="D15" s="37">
        <f>MAX(0,($C$5-6)/$C$5)</f>
        <v>0</v>
      </c>
      <c r="E15" s="38">
        <f t="shared" si="1"/>
        <v>0</v>
      </c>
      <c r="F15" s="38" t="str">
        <f t="shared" si="2"/>
        <v/>
      </c>
      <c r="G15" s="4"/>
    </row>
    <row r="16">
      <c r="B16" s="4" t="s">
        <v>109</v>
      </c>
      <c r="C16" s="13"/>
      <c r="D16" s="37">
        <f>MAX(0,($C$5-7)/$C$5)</f>
        <v>0</v>
      </c>
      <c r="E16" s="38">
        <f t="shared" si="1"/>
        <v>0</v>
      </c>
      <c r="F16" s="38" t="str">
        <f t="shared" si="2"/>
        <v/>
      </c>
      <c r="G16" s="4"/>
    </row>
    <row r="17">
      <c r="B17" s="4" t="s">
        <v>110</v>
      </c>
      <c r="C17" s="13"/>
      <c r="D17" s="37">
        <f>MAX(0,($C$5-8)/$C$5)</f>
        <v>0</v>
      </c>
      <c r="E17" s="38">
        <f t="shared" si="1"/>
        <v>0</v>
      </c>
      <c r="F17" s="38" t="str">
        <f t="shared" si="2"/>
        <v/>
      </c>
      <c r="G17" s="4"/>
    </row>
    <row r="18">
      <c r="B18" s="4" t="s">
        <v>111</v>
      </c>
      <c r="C18" s="13"/>
      <c r="D18" s="37">
        <f>MAX(0,($C$5-9)/$C$5)</f>
        <v>0</v>
      </c>
      <c r="E18" s="38">
        <f t="shared" si="1"/>
        <v>0</v>
      </c>
      <c r="F18" s="38" t="str">
        <f t="shared" si="2"/>
        <v/>
      </c>
      <c r="G18" s="4"/>
    </row>
    <row r="20" ht="19.5" customHeight="1">
      <c r="B20" s="7" t="s">
        <v>112</v>
      </c>
      <c r="C20" s="8"/>
      <c r="D20" s="8"/>
      <c r="E20" s="8"/>
      <c r="F20" s="9"/>
    </row>
    <row r="21" ht="15.75" customHeight="1"/>
    <row r="22" ht="15.75" customHeight="1">
      <c r="B22" s="33" t="s">
        <v>113</v>
      </c>
      <c r="C22" s="39">
        <f>IF(UPPER(C4)="YES",SUM(E9:E18),0)</f>
        <v>0</v>
      </c>
    </row>
    <row r="23" ht="15.75" customHeight="1">
      <c r="B23" s="33" t="s">
        <v>114</v>
      </c>
      <c r="C23" s="39">
        <f>IF(UPPER(C4)="YES",SUM(F9:F18),0)</f>
        <v>0</v>
      </c>
    </row>
    <row r="24" ht="15.75" customHeight="1">
      <c r="B24" s="33" t="s">
        <v>115</v>
      </c>
      <c r="C24" s="39">
        <f>IF(UPPER(C4)="YES",Inputs!C15-C23,0)</f>
        <v>0</v>
      </c>
    </row>
    <row r="25" ht="15.75" customHeight="1">
      <c r="B25" s="33" t="s">
        <v>116</v>
      </c>
      <c r="C25" s="39" t="str">
        <f>IF(UPPER(C4)="YES",Inputs!C15,0)</f>
        <v/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2:F2"/>
    <mergeCell ref="B7:F7"/>
    <mergeCell ref="B20:F20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4.43" defaultRowHeight="15.0"/>
  <cols>
    <col customWidth="1" min="1" max="1" width="3.0"/>
    <col customWidth="1" min="2" max="2" width="30.0"/>
    <col customWidth="1" min="3" max="5" width="18.0"/>
    <col customWidth="1" min="6" max="6" width="48.0"/>
    <col customWidth="1" min="7" max="26" width="8.71"/>
  </cols>
  <sheetData>
    <row r="2" ht="19.5" customHeight="1">
      <c r="B2" s="7" t="s">
        <v>117</v>
      </c>
      <c r="C2" s="8"/>
      <c r="D2" s="8"/>
      <c r="E2" s="8"/>
      <c r="F2" s="9"/>
    </row>
    <row r="4">
      <c r="B4" s="4" t="s">
        <v>93</v>
      </c>
      <c r="C4" s="35" t="str">
        <f>Inputs!C59</f>
        <v>YES</v>
      </c>
      <c r="F4" s="19" t="s">
        <v>118</v>
      </c>
    </row>
    <row r="5">
      <c r="B5" s="4" t="s">
        <v>119</v>
      </c>
      <c r="C5" s="40">
        <f>Inputs!C41</f>
        <v>0.055</v>
      </c>
    </row>
    <row r="6">
      <c r="B6" s="4" t="s">
        <v>120</v>
      </c>
      <c r="C6" s="36">
        <v>10.0</v>
      </c>
    </row>
    <row r="7" ht="19.5" customHeight="1">
      <c r="B7" s="7" t="s">
        <v>121</v>
      </c>
      <c r="C7" s="8"/>
      <c r="D7" s="8"/>
      <c r="E7" s="8"/>
      <c r="F7" s="9"/>
    </row>
    <row r="8" ht="18.0" customHeight="1">
      <c r="B8" s="18" t="s">
        <v>97</v>
      </c>
      <c r="C8" s="18" t="s">
        <v>122</v>
      </c>
      <c r="D8" s="18" t="s">
        <v>123</v>
      </c>
      <c r="E8" s="18" t="s">
        <v>124</v>
      </c>
      <c r="F8" s="18" t="s">
        <v>89</v>
      </c>
    </row>
    <row r="9">
      <c r="B9" s="4" t="s">
        <v>125</v>
      </c>
      <c r="C9" s="13"/>
      <c r="D9" s="35">
        <f>1/(1+$C$5)^1</f>
        <v>0.9478672986</v>
      </c>
      <c r="E9" s="38">
        <f t="shared" ref="E9:E13" si="1">C9*D9</f>
        <v>0</v>
      </c>
      <c r="F9" s="4"/>
    </row>
    <row r="10">
      <c r="B10" s="4" t="s">
        <v>126</v>
      </c>
      <c r="C10" s="13"/>
      <c r="D10" s="35">
        <f>1/(1+$C$5)^2</f>
        <v>0.8984524157</v>
      </c>
      <c r="E10" s="38">
        <f t="shared" si="1"/>
        <v>0</v>
      </c>
      <c r="F10" s="4"/>
    </row>
    <row r="11">
      <c r="B11" s="4" t="s">
        <v>127</v>
      </c>
      <c r="C11" s="13"/>
      <c r="D11" s="35">
        <f>1/(1+$C$5)^3</f>
        <v>0.8516136642</v>
      </c>
      <c r="E11" s="38">
        <f t="shared" si="1"/>
        <v>0</v>
      </c>
      <c r="F11" s="4"/>
    </row>
    <row r="12">
      <c r="B12" s="4" t="s">
        <v>128</v>
      </c>
      <c r="C12" s="13"/>
      <c r="D12" s="35">
        <f>1/(1+$C$5)^4</f>
        <v>0.8072167433</v>
      </c>
      <c r="E12" s="38">
        <f t="shared" si="1"/>
        <v>0</v>
      </c>
      <c r="F12" s="4"/>
    </row>
    <row r="13">
      <c r="B13" s="4" t="s">
        <v>129</v>
      </c>
      <c r="C13" s="13"/>
      <c r="D13" s="35">
        <f>1/(1+$C$5)^5</f>
        <v>0.7651343538</v>
      </c>
      <c r="E13" s="38">
        <f t="shared" si="1"/>
        <v>0</v>
      </c>
      <c r="F13" s="4"/>
    </row>
    <row r="14">
      <c r="B14" s="4" t="s">
        <v>130</v>
      </c>
      <c r="C14" s="13"/>
      <c r="D14" s="35"/>
      <c r="E14" s="38" t="str">
        <f>IF(OR(C14="",C15="",$C$5=""),"",(C14/C15)*(1-(1+$C$5)^(-C15))/$C$5/(1+$C$5)^5)</f>
        <v/>
      </c>
      <c r="F14" s="15" t="s">
        <v>131</v>
      </c>
    </row>
    <row r="15">
      <c r="B15" s="28" t="s">
        <v>132</v>
      </c>
      <c r="C15" s="41">
        <v>10.0</v>
      </c>
      <c r="F15" s="42" t="s">
        <v>133</v>
      </c>
    </row>
    <row r="17" ht="19.5" customHeight="1">
      <c r="B17" s="7" t="s">
        <v>112</v>
      </c>
      <c r="C17" s="8"/>
      <c r="D17" s="8"/>
      <c r="E17" s="8"/>
      <c r="F17" s="9"/>
    </row>
    <row r="19">
      <c r="B19" s="33" t="s">
        <v>134</v>
      </c>
      <c r="C19" s="39">
        <f>IF(UPPER(C4)="YES",SUM(E9:E13)+E14,0)</f>
        <v>0</v>
      </c>
    </row>
    <row r="20">
      <c r="B20" s="33" t="s">
        <v>135</v>
      </c>
      <c r="C20" s="39">
        <f>IF(UPPER(C4)="YES",C19/$C$6,0)</f>
        <v>0</v>
      </c>
    </row>
    <row r="21" ht="15.75" customHeight="1">
      <c r="B21" s="33" t="s">
        <v>115</v>
      </c>
      <c r="C21" s="39">
        <f>IF(UPPER(C4)="YES",Inputs!C16-C20,0)</f>
        <v>0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2:F2"/>
    <mergeCell ref="B7:F7"/>
    <mergeCell ref="B17:F17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8.0" topLeftCell="B9" activePane="bottomRight" state="frozen"/>
      <selection activeCell="B1" sqref="B1" pane="topRight"/>
      <selection activeCell="A9" sqref="A9" pane="bottomLeft"/>
      <selection activeCell="B9" sqref="B9" pane="bottomRight"/>
    </sheetView>
  </sheetViews>
  <sheetFormatPr customHeight="1" defaultColWidth="14.43" defaultRowHeight="15.0"/>
  <cols>
    <col customWidth="1" min="1" max="1" width="3.0"/>
    <col customWidth="1" min="2" max="2" width="34.0"/>
    <col customWidth="1" min="3" max="12" width="14.0"/>
    <col customWidth="1" min="13" max="26" width="8.71"/>
  </cols>
  <sheetData>
    <row r="2" ht="19.5" customHeight="1">
      <c r="B2" s="7" t="s">
        <v>136</v>
      </c>
      <c r="C2" s="8"/>
      <c r="D2" s="8"/>
      <c r="E2" s="8"/>
      <c r="F2" s="8"/>
      <c r="G2" s="8"/>
      <c r="H2" s="8"/>
      <c r="I2" s="8"/>
      <c r="J2" s="8"/>
      <c r="K2" s="8"/>
      <c r="L2" s="9"/>
    </row>
    <row r="8" ht="18.0" customHeight="1">
      <c r="B8" s="18"/>
      <c r="C8" s="18" t="s">
        <v>137</v>
      </c>
      <c r="D8" s="18" t="s">
        <v>138</v>
      </c>
      <c r="E8" s="18" t="s">
        <v>139</v>
      </c>
      <c r="F8" s="18" t="s">
        <v>140</v>
      </c>
      <c r="G8" s="18" t="s">
        <v>141</v>
      </c>
      <c r="H8" s="18" t="s">
        <v>142</v>
      </c>
      <c r="I8" s="18" t="s">
        <v>143</v>
      </c>
      <c r="J8" s="18" t="s">
        <v>144</v>
      </c>
      <c r="K8" s="18" t="s">
        <v>145</v>
      </c>
      <c r="L8" s="18" t="s">
        <v>146</v>
      </c>
      <c r="M8" s="18" t="s">
        <v>147</v>
      </c>
    </row>
    <row r="9">
      <c r="B9" s="4" t="s">
        <v>148</v>
      </c>
      <c r="C9" s="38" t="str">
        <f>Inputs!C9</f>
        <v/>
      </c>
      <c r="D9" s="38">
        <f t="shared" ref="D9:L9" si="1">C9*(1+D10)</f>
        <v>0</v>
      </c>
      <c r="E9" s="38">
        <f t="shared" si="1"/>
        <v>0</v>
      </c>
      <c r="F9" s="38">
        <f t="shared" si="1"/>
        <v>0</v>
      </c>
      <c r="G9" s="38">
        <f t="shared" si="1"/>
        <v>0</v>
      </c>
      <c r="H9" s="38">
        <f t="shared" si="1"/>
        <v>0</v>
      </c>
      <c r="I9" s="38">
        <f t="shared" si="1"/>
        <v>0</v>
      </c>
      <c r="J9" s="38">
        <f t="shared" si="1"/>
        <v>0</v>
      </c>
      <c r="K9" s="38">
        <f t="shared" si="1"/>
        <v>0</v>
      </c>
      <c r="L9" s="38">
        <f t="shared" si="1"/>
        <v>0</v>
      </c>
    </row>
    <row r="10">
      <c r="B10" s="4" t="s">
        <v>149</v>
      </c>
      <c r="C10" s="37"/>
      <c r="D10" s="37">
        <f>Inputs!C20</f>
        <v>0.05</v>
      </c>
      <c r="E10" s="37">
        <f>Inputs!C21</f>
        <v>0.04</v>
      </c>
      <c r="F10" s="37">
        <f>Inputs!C22</f>
        <v>0.03</v>
      </c>
      <c r="G10" s="37">
        <f>Inputs!C23</f>
        <v>0.03</v>
      </c>
      <c r="H10" s="37">
        <f>Inputs!C24</f>
        <v>0.03</v>
      </c>
      <c r="I10" s="37">
        <f>Inputs!C44 + (Inputs!C24-Inputs!C44)*((10-6)/5)</f>
        <v>0.029</v>
      </c>
      <c r="J10" s="37">
        <f>Inputs!C44 + (Inputs!C24-Inputs!C44)*((10-7)/5)</f>
        <v>0.028</v>
      </c>
      <c r="K10" s="37">
        <f>Inputs!C44 + (Inputs!C24-Inputs!C44)*((10-8)/5)</f>
        <v>0.027</v>
      </c>
      <c r="L10" s="37">
        <f>Inputs!C44 + (Inputs!C24-Inputs!C44)*((10-9)/5)</f>
        <v>0.026</v>
      </c>
    </row>
    <row r="11">
      <c r="B11" s="4" t="s">
        <v>150</v>
      </c>
      <c r="C11" s="37" t="str">
        <f>IF(Inputs!C9=0,"",Inputs!C10/Inputs!C9)</f>
        <v/>
      </c>
      <c r="D11" s="37">
        <f>$C$11 + (Inputs!C25-$C$11)*(1/5)</f>
        <v>0.06</v>
      </c>
      <c r="E11" s="37">
        <f>$C$11 + (Inputs!C25-$C$11)*(2/5)</f>
        <v>0.12</v>
      </c>
      <c r="F11" s="37">
        <f>$C$11 + (Inputs!C25-$C$11)*(3/5)</f>
        <v>0.18</v>
      </c>
      <c r="G11" s="37">
        <f>$C$11 + (Inputs!C25-$C$11)*(4/5)</f>
        <v>0.24</v>
      </c>
      <c r="H11" s="37">
        <f>$C$11 + (Inputs!C25-$C$11)*(5/5)</f>
        <v>0.3</v>
      </c>
      <c r="I11" s="37">
        <f>Inputs!C25 + (Inputs!C26-Inputs!C25)*((6-5)/5)</f>
        <v>0.3</v>
      </c>
      <c r="J11" s="37">
        <f>Inputs!C25 + (Inputs!C26-Inputs!C25)*((7-5)/5)</f>
        <v>0.3</v>
      </c>
      <c r="K11" s="37">
        <f>Inputs!C25 + (Inputs!C26-Inputs!C25)*((8-5)/5)</f>
        <v>0.3</v>
      </c>
      <c r="L11" s="37">
        <f>Inputs!C25 + (Inputs!C26-Inputs!C25)*((9-5)/5)</f>
        <v>0.3</v>
      </c>
    </row>
    <row r="12">
      <c r="B12" s="4" t="s">
        <v>151</v>
      </c>
      <c r="C12" s="38">
        <f t="shared" ref="C12:L12" si="2">C9*C11</f>
        <v>0</v>
      </c>
      <c r="D12" s="38">
        <f t="shared" si="2"/>
        <v>0</v>
      </c>
      <c r="E12" s="38">
        <f t="shared" si="2"/>
        <v>0</v>
      </c>
      <c r="F12" s="38">
        <f t="shared" si="2"/>
        <v>0</v>
      </c>
      <c r="G12" s="38">
        <f t="shared" si="2"/>
        <v>0</v>
      </c>
      <c r="H12" s="38">
        <f t="shared" si="2"/>
        <v>0</v>
      </c>
      <c r="I12" s="38">
        <f t="shared" si="2"/>
        <v>0</v>
      </c>
      <c r="J12" s="38">
        <f t="shared" si="2"/>
        <v>0</v>
      </c>
      <c r="K12" s="38">
        <f t="shared" si="2"/>
        <v>0</v>
      </c>
      <c r="L12" s="38">
        <f t="shared" si="2"/>
        <v>0</v>
      </c>
    </row>
    <row r="13">
      <c r="B13" s="4" t="s">
        <v>98</v>
      </c>
      <c r="C13" s="38" t="str">
        <f>Inputs!C15</f>
        <v/>
      </c>
      <c r="D13" s="38">
        <f>D9*Inputs!C31</f>
        <v>0</v>
      </c>
      <c r="E13" s="38">
        <f>E9*Inputs!C31</f>
        <v>0</v>
      </c>
      <c r="F13" s="38">
        <f>F9*Inputs!C31</f>
        <v>0</v>
      </c>
      <c r="G13" s="38">
        <f>G9*Inputs!C31</f>
        <v>0</v>
      </c>
      <c r="H13" s="38">
        <f>H9*Inputs!C31</f>
        <v>0</v>
      </c>
      <c r="I13" s="38">
        <f>I9*Inputs!C31</f>
        <v>0</v>
      </c>
      <c r="J13" s="38">
        <f>J9*Inputs!C31</f>
        <v>0</v>
      </c>
      <c r="K13" s="38">
        <f>K9*Inputs!C31</f>
        <v>0</v>
      </c>
      <c r="L13" s="38">
        <f>L9*Inputs!C31</f>
        <v>0</v>
      </c>
    </row>
    <row r="14">
      <c r="B14" s="4" t="s">
        <v>152</v>
      </c>
      <c r="C14" s="38">
        <f>IF(UPPER(Inputs!C58)="YES",C13/'R&amp;D Capitalization'!$C$5,0)</f>
        <v>0</v>
      </c>
      <c r="D14" s="38">
        <f>IF(UPPER(Inputs!C58)="YES",D13/'R&amp;D Capitalization'!$C$5,0)</f>
        <v>0</v>
      </c>
      <c r="E14" s="38">
        <f>IF(UPPER(Inputs!C58)="YES",E13/'R&amp;D Capitalization'!$C$5,0)</f>
        <v>0</v>
      </c>
      <c r="F14" s="38">
        <f>IF(UPPER(Inputs!C58)="YES",F13/'R&amp;D Capitalization'!$C$5,0)</f>
        <v>0</v>
      </c>
      <c r="G14" s="38">
        <f>IF(UPPER(Inputs!C58)="YES",G13/'R&amp;D Capitalization'!$C$5,0)</f>
        <v>0</v>
      </c>
      <c r="H14" s="38">
        <f>IF(UPPER(Inputs!C58)="YES",H13/'R&amp;D Capitalization'!$C$5,0)</f>
        <v>0</v>
      </c>
      <c r="I14" s="38">
        <f>IF(UPPER(Inputs!C58)="YES",I13/'R&amp;D Capitalization'!$C$5,0)</f>
        <v>0</v>
      </c>
      <c r="J14" s="38">
        <f>IF(UPPER(Inputs!C58)="YES",J13/'R&amp;D Capitalization'!$C$5,0)</f>
        <v>0</v>
      </c>
      <c r="K14" s="38">
        <f>IF(UPPER(Inputs!C58)="YES",K13/'R&amp;D Capitalization'!$C$5,0)</f>
        <v>0</v>
      </c>
      <c r="L14" s="38">
        <f>IF(UPPER(Inputs!C58)="YES",L13/'R&amp;D Capitalization'!$C$5,0)</f>
        <v>0</v>
      </c>
    </row>
    <row r="15">
      <c r="B15" s="4" t="s">
        <v>153</v>
      </c>
      <c r="C15" s="38" t="str">
        <f>Inputs!C16</f>
        <v/>
      </c>
      <c r="D15" s="38">
        <f>D9*Inputs!C32</f>
        <v>0</v>
      </c>
      <c r="E15" s="38">
        <f>E9*Inputs!C32</f>
        <v>0</v>
      </c>
      <c r="F15" s="38">
        <f>F9*Inputs!C32</f>
        <v>0</v>
      </c>
      <c r="G15" s="38">
        <f>G9*Inputs!C32</f>
        <v>0</v>
      </c>
      <c r="H15" s="38">
        <f>H9*Inputs!C32</f>
        <v>0</v>
      </c>
      <c r="I15" s="38">
        <f>I9*Inputs!C32</f>
        <v>0</v>
      </c>
      <c r="J15" s="38">
        <f>J9*Inputs!C32</f>
        <v>0</v>
      </c>
      <c r="K15" s="38">
        <f>K9*Inputs!C32</f>
        <v>0</v>
      </c>
      <c r="L15" s="38">
        <f>L9*Inputs!C32</f>
        <v>0</v>
      </c>
    </row>
    <row r="16">
      <c r="B16" s="4" t="s">
        <v>135</v>
      </c>
      <c r="C16" s="38">
        <f>IF(UPPER(Inputs!C59)="YES",'Lease Capitalization'!C20,0)</f>
        <v>0</v>
      </c>
      <c r="D16" s="38">
        <f>IF(UPPER(Inputs!C59)="YES",'Lease Capitalization'!C20,0)</f>
        <v>0</v>
      </c>
      <c r="E16" s="38">
        <f>IF(UPPER(Inputs!C59)="YES",'Lease Capitalization'!C20,0)</f>
        <v>0</v>
      </c>
      <c r="F16" s="38">
        <f>IF(UPPER(Inputs!C59)="YES",'Lease Capitalization'!C20,0)</f>
        <v>0</v>
      </c>
      <c r="G16" s="38">
        <f>IF(UPPER(Inputs!C59)="YES",'Lease Capitalization'!C20,0)</f>
        <v>0</v>
      </c>
      <c r="H16" s="38">
        <f>IF(UPPER(Inputs!C59)="YES",'Lease Capitalization'!C20,0)</f>
        <v>0</v>
      </c>
      <c r="I16" s="38">
        <f>IF(UPPER(Inputs!C59)="YES",'Lease Capitalization'!C20,0)</f>
        <v>0</v>
      </c>
      <c r="J16" s="38">
        <f>IF(UPPER(Inputs!C59)="YES",'Lease Capitalization'!C20,0)</f>
        <v>0</v>
      </c>
      <c r="K16" s="38">
        <f>IF(UPPER(Inputs!C59)="YES",'Lease Capitalization'!C20,0)</f>
        <v>0</v>
      </c>
      <c r="L16" s="38">
        <f>IF(UPPER(Inputs!C59)="YES",'Lease Capitalization'!C20,0)</f>
        <v>0</v>
      </c>
    </row>
    <row r="17">
      <c r="B17" s="4" t="s">
        <v>154</v>
      </c>
      <c r="C17" s="38">
        <f t="shared" ref="C17:L17" si="3">C12+C13-C14+C15-C16</f>
        <v>0</v>
      </c>
      <c r="D17" s="38">
        <f t="shared" si="3"/>
        <v>0</v>
      </c>
      <c r="E17" s="38">
        <f t="shared" si="3"/>
        <v>0</v>
      </c>
      <c r="F17" s="38">
        <f t="shared" si="3"/>
        <v>0</v>
      </c>
      <c r="G17" s="38">
        <f t="shared" si="3"/>
        <v>0</v>
      </c>
      <c r="H17" s="38">
        <f t="shared" si="3"/>
        <v>0</v>
      </c>
      <c r="I17" s="38">
        <f t="shared" si="3"/>
        <v>0</v>
      </c>
      <c r="J17" s="38">
        <f t="shared" si="3"/>
        <v>0</v>
      </c>
      <c r="K17" s="38">
        <f t="shared" si="3"/>
        <v>0</v>
      </c>
      <c r="L17" s="38">
        <f t="shared" si="3"/>
        <v>0</v>
      </c>
    </row>
    <row r="18">
      <c r="B18" s="4" t="s">
        <v>155</v>
      </c>
      <c r="C18" s="37">
        <f>Inputs!C27</f>
        <v>0.18</v>
      </c>
      <c r="D18" s="37">
        <f>Inputs!C27</f>
        <v>0.18</v>
      </c>
      <c r="E18" s="37">
        <f>Inputs!C27</f>
        <v>0.18</v>
      </c>
      <c r="F18" s="37">
        <f>Inputs!C27</f>
        <v>0.18</v>
      </c>
      <c r="G18" s="37">
        <f>Inputs!C27</f>
        <v>0.18</v>
      </c>
      <c r="H18" s="37">
        <f>Inputs!C27</f>
        <v>0.18</v>
      </c>
      <c r="I18" s="37">
        <f>Inputs!C27</f>
        <v>0.18</v>
      </c>
      <c r="J18" s="37">
        <f>Inputs!C27</f>
        <v>0.18</v>
      </c>
      <c r="K18" s="37">
        <f>Inputs!C27</f>
        <v>0.18</v>
      </c>
      <c r="L18" s="37">
        <f>Inputs!C27</f>
        <v>0.18</v>
      </c>
    </row>
    <row r="19">
      <c r="B19" s="4" t="s">
        <v>156</v>
      </c>
      <c r="C19" s="38">
        <f t="shared" ref="C19:L19" si="4">C17*(1-C18)</f>
        <v>0</v>
      </c>
      <c r="D19" s="38">
        <f t="shared" si="4"/>
        <v>0</v>
      </c>
      <c r="E19" s="38">
        <f t="shared" si="4"/>
        <v>0</v>
      </c>
      <c r="F19" s="38">
        <f t="shared" si="4"/>
        <v>0</v>
      </c>
      <c r="G19" s="38">
        <f t="shared" si="4"/>
        <v>0</v>
      </c>
      <c r="H19" s="38">
        <f t="shared" si="4"/>
        <v>0</v>
      </c>
      <c r="I19" s="38">
        <f t="shared" si="4"/>
        <v>0</v>
      </c>
      <c r="J19" s="38">
        <f t="shared" si="4"/>
        <v>0</v>
      </c>
      <c r="K19" s="38">
        <f t="shared" si="4"/>
        <v>0</v>
      </c>
      <c r="L19" s="38">
        <f t="shared" si="4"/>
        <v>0</v>
      </c>
    </row>
    <row r="20">
      <c r="B20" s="4" t="s">
        <v>157</v>
      </c>
      <c r="C20" s="38" t="str">
        <f>Inputs!C12</f>
        <v/>
      </c>
      <c r="D20" s="38">
        <f>D9*Inputs!C28</f>
        <v>0</v>
      </c>
      <c r="E20" s="38">
        <f>E9*Inputs!C28</f>
        <v>0</v>
      </c>
      <c r="F20" s="38">
        <f>F9*Inputs!C28</f>
        <v>0</v>
      </c>
      <c r="G20" s="38">
        <f>G9*Inputs!C28</f>
        <v>0</v>
      </c>
      <c r="H20" s="38">
        <f>H9*Inputs!C28</f>
        <v>0</v>
      </c>
      <c r="I20" s="38">
        <f>I9*Inputs!C28</f>
        <v>0</v>
      </c>
      <c r="J20" s="38">
        <f>J9*Inputs!C28</f>
        <v>0</v>
      </c>
      <c r="K20" s="38">
        <f>K9*Inputs!C28</f>
        <v>0</v>
      </c>
      <c r="L20" s="38">
        <f>L9*Inputs!C28</f>
        <v>0</v>
      </c>
    </row>
    <row r="21" ht="15.75" customHeight="1">
      <c r="B21" s="4" t="s">
        <v>158</v>
      </c>
      <c r="C21" s="38">
        <f t="shared" ref="C21:L21" si="5">C20+C14+C16</f>
        <v>0</v>
      </c>
      <c r="D21" s="38">
        <f t="shared" si="5"/>
        <v>0</v>
      </c>
      <c r="E21" s="38">
        <f t="shared" si="5"/>
        <v>0</v>
      </c>
      <c r="F21" s="38">
        <f t="shared" si="5"/>
        <v>0</v>
      </c>
      <c r="G21" s="38">
        <f t="shared" si="5"/>
        <v>0</v>
      </c>
      <c r="H21" s="38">
        <f t="shared" si="5"/>
        <v>0</v>
      </c>
      <c r="I21" s="38">
        <f t="shared" si="5"/>
        <v>0</v>
      </c>
      <c r="J21" s="38">
        <f t="shared" si="5"/>
        <v>0</v>
      </c>
      <c r="K21" s="38">
        <f t="shared" si="5"/>
        <v>0</v>
      </c>
      <c r="L21" s="38">
        <f t="shared" si="5"/>
        <v>0</v>
      </c>
    </row>
    <row r="22" ht="15.75" customHeight="1">
      <c r="B22" s="4" t="s">
        <v>159</v>
      </c>
      <c r="C22" s="38" t="str">
        <f>Inputs!C13</f>
        <v/>
      </c>
      <c r="D22" s="38">
        <f>D9*Inputs!C29</f>
        <v>0</v>
      </c>
      <c r="E22" s="38">
        <f>E9*Inputs!C29</f>
        <v>0</v>
      </c>
      <c r="F22" s="38">
        <f>F9*Inputs!C29</f>
        <v>0</v>
      </c>
      <c r="G22" s="38">
        <f>G9*Inputs!C29</f>
        <v>0</v>
      </c>
      <c r="H22" s="38">
        <f>H9*Inputs!C29</f>
        <v>0</v>
      </c>
      <c r="I22" s="38">
        <f>I9*Inputs!C29</f>
        <v>0</v>
      </c>
      <c r="J22" s="38">
        <f>J9*Inputs!C29</f>
        <v>0</v>
      </c>
      <c r="K22" s="38">
        <f>K9*Inputs!C29</f>
        <v>0</v>
      </c>
      <c r="L22" s="38">
        <f>L9*Inputs!C29</f>
        <v>0</v>
      </c>
    </row>
    <row r="23" ht="15.75" customHeight="1">
      <c r="B23" s="4" t="s">
        <v>160</v>
      </c>
      <c r="C23" s="38" t="str">
        <f>IF(UPPER(Inputs!C58)="YES",C13,0)</f>
        <v/>
      </c>
      <c r="D23" s="38">
        <f>IF(UPPER(Inputs!C58)="YES",D13,0)</f>
        <v>0</v>
      </c>
      <c r="E23" s="38">
        <f>IF(UPPER(Inputs!C58)="YES",E13,0)</f>
        <v>0</v>
      </c>
      <c r="F23" s="38">
        <f>IF(UPPER(Inputs!C58)="YES",F13,0)</f>
        <v>0</v>
      </c>
      <c r="G23" s="38">
        <f>IF(UPPER(Inputs!C58)="YES",G13,0)</f>
        <v>0</v>
      </c>
      <c r="H23" s="38">
        <f>IF(UPPER(Inputs!C58)="YES",H13,0)</f>
        <v>0</v>
      </c>
      <c r="I23" s="38">
        <f>IF(UPPER(Inputs!C58)="YES",I13,0)</f>
        <v>0</v>
      </c>
      <c r="J23" s="38">
        <f>IF(UPPER(Inputs!C58)="YES",J13,0)</f>
        <v>0</v>
      </c>
      <c r="K23" s="38">
        <f>IF(UPPER(Inputs!C58)="YES",K13,0)</f>
        <v>0</v>
      </c>
      <c r="L23" s="38">
        <f>IF(UPPER(Inputs!C58)="YES",L13,0)</f>
        <v>0</v>
      </c>
    </row>
    <row r="24" ht="15.75" customHeight="1">
      <c r="B24" s="4" t="s">
        <v>161</v>
      </c>
      <c r="C24" s="38" t="str">
        <f>Inputs!C14</f>
        <v/>
      </c>
      <c r="D24" s="38">
        <f>D9*Inputs!C30</f>
        <v>0</v>
      </c>
      <c r="E24" s="38">
        <f>E9*Inputs!C30</f>
        <v>0</v>
      </c>
      <c r="F24" s="38">
        <f>F9*Inputs!C30</f>
        <v>0</v>
      </c>
      <c r="G24" s="38">
        <f>G9*Inputs!C30</f>
        <v>0</v>
      </c>
      <c r="H24" s="38">
        <f>H9*Inputs!C30</f>
        <v>0</v>
      </c>
      <c r="I24" s="38">
        <f>I9*Inputs!C30</f>
        <v>0</v>
      </c>
      <c r="J24" s="38">
        <f>J9*Inputs!C30</f>
        <v>0</v>
      </c>
      <c r="K24" s="38">
        <f>K9*Inputs!C30</f>
        <v>0</v>
      </c>
      <c r="L24" s="38">
        <f>L9*Inputs!C30</f>
        <v>0</v>
      </c>
    </row>
    <row r="25" ht="15.75" customHeight="1">
      <c r="B25" s="4" t="s">
        <v>162</v>
      </c>
      <c r="C25" s="38">
        <f t="shared" ref="C25:L25" si="6">C22+C23+C24</f>
        <v>0</v>
      </c>
      <c r="D25" s="38">
        <f t="shared" si="6"/>
        <v>0</v>
      </c>
      <c r="E25" s="38">
        <f t="shared" si="6"/>
        <v>0</v>
      </c>
      <c r="F25" s="38">
        <f t="shared" si="6"/>
        <v>0</v>
      </c>
      <c r="G25" s="38">
        <f t="shared" si="6"/>
        <v>0</v>
      </c>
      <c r="H25" s="38">
        <f t="shared" si="6"/>
        <v>0</v>
      </c>
      <c r="I25" s="38">
        <f t="shared" si="6"/>
        <v>0</v>
      </c>
      <c r="J25" s="38">
        <f t="shared" si="6"/>
        <v>0</v>
      </c>
      <c r="K25" s="38">
        <f t="shared" si="6"/>
        <v>0</v>
      </c>
      <c r="L25" s="38">
        <f t="shared" si="6"/>
        <v>0</v>
      </c>
    </row>
    <row r="26" ht="15.75" customHeight="1">
      <c r="B26" s="4" t="s">
        <v>163</v>
      </c>
      <c r="C26" s="38">
        <f t="shared" ref="C26:L26" si="7">C19+C21-C25</f>
        <v>0</v>
      </c>
      <c r="D26" s="38">
        <f t="shared" si="7"/>
        <v>0</v>
      </c>
      <c r="E26" s="38">
        <f t="shared" si="7"/>
        <v>0</v>
      </c>
      <c r="F26" s="38">
        <f t="shared" si="7"/>
        <v>0</v>
      </c>
      <c r="G26" s="38">
        <f t="shared" si="7"/>
        <v>0</v>
      </c>
      <c r="H26" s="38">
        <f t="shared" si="7"/>
        <v>0</v>
      </c>
      <c r="I26" s="38">
        <f t="shared" si="7"/>
        <v>0</v>
      </c>
      <c r="J26" s="38">
        <f t="shared" si="7"/>
        <v>0</v>
      </c>
      <c r="K26" s="38">
        <f t="shared" si="7"/>
        <v>0</v>
      </c>
      <c r="L26" s="38">
        <f t="shared" si="7"/>
        <v>0</v>
      </c>
    </row>
    <row r="27" ht="15.75" customHeight="1">
      <c r="B27" s="4" t="s">
        <v>123</v>
      </c>
      <c r="C27" s="43"/>
      <c r="D27" s="43">
        <f>1/(1+Inputs!C43)^1</f>
        <v>0.9155329317</v>
      </c>
      <c r="E27" s="43">
        <f>1/(1+Inputs!C43)^2</f>
        <v>0.8382005491</v>
      </c>
      <c r="F27" s="43">
        <f>1/(1+Inputs!C43)^3</f>
        <v>0.7674002061</v>
      </c>
      <c r="G27" s="43">
        <f>1/(1+Inputs!C43)^4</f>
        <v>0.7025801604</v>
      </c>
      <c r="H27" s="43">
        <f>1/(1+Inputs!C43)^5</f>
        <v>0.6432352741</v>
      </c>
      <c r="I27" s="43">
        <f>1/(1+Inputs!C43)^6</f>
        <v>0.5889030762</v>
      </c>
      <c r="J27" s="43">
        <f>1/(1+Inputs!C43)^7</f>
        <v>0.5391601599</v>
      </c>
      <c r="K27" s="43">
        <f>1/(1+Inputs!C43)^8</f>
        <v>0.4936188819</v>
      </c>
      <c r="L27" s="43">
        <f>1/(1+Inputs!C43)^9</f>
        <v>0.4519243421</v>
      </c>
    </row>
    <row r="28" ht="15.75" customHeight="1">
      <c r="B28" s="4" t="s">
        <v>164</v>
      </c>
      <c r="C28" s="38"/>
      <c r="D28" s="38">
        <f t="shared" ref="D28:L28" si="8">D26*D27</f>
        <v>0</v>
      </c>
      <c r="E28" s="38">
        <f t="shared" si="8"/>
        <v>0</v>
      </c>
      <c r="F28" s="38">
        <f t="shared" si="8"/>
        <v>0</v>
      </c>
      <c r="G28" s="38">
        <f t="shared" si="8"/>
        <v>0</v>
      </c>
      <c r="H28" s="38">
        <f t="shared" si="8"/>
        <v>0</v>
      </c>
      <c r="I28" s="38">
        <f t="shared" si="8"/>
        <v>0</v>
      </c>
      <c r="J28" s="38">
        <f t="shared" si="8"/>
        <v>0</v>
      </c>
      <c r="K28" s="38">
        <f t="shared" si="8"/>
        <v>0</v>
      </c>
      <c r="L28" s="38">
        <f t="shared" si="8"/>
        <v>0</v>
      </c>
    </row>
    <row r="29" ht="15.75" customHeight="1"/>
    <row r="30" ht="19.5" customHeight="1">
      <c r="B30" s="7" t="s">
        <v>165</v>
      </c>
      <c r="C30" s="8"/>
      <c r="D30" s="8"/>
      <c r="E30" s="8"/>
      <c r="F30" s="8"/>
      <c r="G30" s="8"/>
      <c r="H30" s="8"/>
      <c r="I30" s="8"/>
      <c r="J30" s="8"/>
      <c r="K30" s="8"/>
      <c r="L30" s="9"/>
    </row>
    <row r="31" ht="15.75" customHeight="1"/>
    <row r="32" ht="15.75" customHeight="1">
      <c r="B32" s="44" t="s">
        <v>166</v>
      </c>
      <c r="C32" s="45">
        <f>L26</f>
        <v>0</v>
      </c>
    </row>
    <row r="33" ht="15.75" customHeight="1">
      <c r="B33" s="44" t="s">
        <v>167</v>
      </c>
      <c r="C33" s="46">
        <f>C32*(1+Inputs!C44)/(Inputs!C43-Inputs!C44)</f>
        <v>0</v>
      </c>
    </row>
    <row r="34" ht="15.75" customHeight="1">
      <c r="B34" s="44" t="s">
        <v>168</v>
      </c>
      <c r="C34" s="46">
        <f>C33*L27</f>
        <v>0</v>
      </c>
    </row>
    <row r="35" ht="15.75" customHeight="1">
      <c r="B35" s="33" t="s">
        <v>169</v>
      </c>
      <c r="C35" s="47">
        <f>SUM(D28:L28)+C34</f>
        <v>0</v>
      </c>
    </row>
    <row r="36" ht="15.75" customHeight="1"/>
    <row r="37" ht="15.75" customHeight="1">
      <c r="B37" s="33" t="s">
        <v>170</v>
      </c>
      <c r="C37" s="47">
        <f>C35-Inputs!C50-Inputs!C51+Inputs!C49+Inputs!C52</f>
        <v>0</v>
      </c>
    </row>
    <row r="38" ht="15.75" customHeight="1">
      <c r="B38" s="44" t="s">
        <v>72</v>
      </c>
      <c r="C38" s="48">
        <f>Inputs!C55</f>
        <v>0</v>
      </c>
    </row>
    <row r="39" ht="15.75" customHeight="1">
      <c r="B39" s="33" t="s">
        <v>171</v>
      </c>
      <c r="C39" s="49" t="str">
        <f>C37/C38</f>
        <v>#DIV/0!</v>
      </c>
    </row>
    <row r="40" ht="15.75" customHeight="1"/>
    <row r="41" ht="15.75" customHeight="1"/>
    <row r="42" ht="15.75" customHeight="1"/>
    <row r="43" ht="15.75" customHeight="1">
      <c r="B43" s="17" t="s">
        <v>172</v>
      </c>
    </row>
    <row r="44" ht="15.75" customHeight="1">
      <c r="B44" s="4" t="s">
        <v>173</v>
      </c>
    </row>
    <row r="45" ht="18.0" customHeight="1">
      <c r="B45" s="18"/>
      <c r="C45" s="18" t="s">
        <v>137</v>
      </c>
      <c r="D45" s="18" t="s">
        <v>138</v>
      </c>
      <c r="E45" s="18" t="s">
        <v>139</v>
      </c>
      <c r="F45" s="18" t="s">
        <v>140</v>
      </c>
      <c r="G45" s="18" t="s">
        <v>141</v>
      </c>
      <c r="H45" s="18" t="s">
        <v>142</v>
      </c>
      <c r="I45" s="18" t="s">
        <v>143</v>
      </c>
      <c r="J45" s="18" t="s">
        <v>144</v>
      </c>
      <c r="K45" s="18" t="s">
        <v>145</v>
      </c>
      <c r="L45" s="18" t="s">
        <v>146</v>
      </c>
      <c r="M45" s="18" t="s">
        <v>147</v>
      </c>
    </row>
    <row r="46" ht="15.75" customHeight="1">
      <c r="B46" s="4" t="s">
        <v>148</v>
      </c>
      <c r="C46" s="38" t="str">
        <f>Inputs!C9</f>
        <v/>
      </c>
      <c r="D46" s="38">
        <f t="shared" ref="D46:L46" si="9">C46*(1+D47)</f>
        <v>0</v>
      </c>
      <c r="E46" s="38">
        <f t="shared" si="9"/>
        <v>0</v>
      </c>
      <c r="F46" s="38">
        <f t="shared" si="9"/>
        <v>0</v>
      </c>
      <c r="G46" s="38">
        <f t="shared" si="9"/>
        <v>0</v>
      </c>
      <c r="H46" s="38">
        <f t="shared" si="9"/>
        <v>0</v>
      </c>
      <c r="I46" s="38">
        <f t="shared" si="9"/>
        <v>0</v>
      </c>
      <c r="J46" s="38">
        <f t="shared" si="9"/>
        <v>0</v>
      </c>
      <c r="K46" s="38">
        <f t="shared" si="9"/>
        <v>0</v>
      </c>
      <c r="L46" s="38">
        <f t="shared" si="9"/>
        <v>0</v>
      </c>
    </row>
    <row r="47" ht="15.75" customHeight="1">
      <c r="B47" s="4" t="s">
        <v>149</v>
      </c>
      <c r="C47" s="37"/>
      <c r="D47" s="37">
        <f>Inputs!G20</f>
        <v>0.03</v>
      </c>
      <c r="E47" s="37">
        <f>Inputs!G21</f>
        <v>0.02</v>
      </c>
      <c r="F47" s="37">
        <f>Inputs!G22</f>
        <v>0.01</v>
      </c>
      <c r="G47" s="37">
        <f>Inputs!G23</f>
        <v>0.01</v>
      </c>
      <c r="H47" s="37">
        <f>Inputs!G24</f>
        <v>0.01</v>
      </c>
      <c r="I47" s="37">
        <f>Inputs!G44 + (Inputs!G24-Inputs!G44)*((10-6)/5)</f>
        <v>0.0115</v>
      </c>
      <c r="J47" s="37">
        <f>Inputs!G44 + (Inputs!G24-Inputs!G44)*((10-7)/5)</f>
        <v>0.013</v>
      </c>
      <c r="K47" s="37">
        <f>Inputs!G44 + (Inputs!G24-Inputs!G44)*((10-8)/5)</f>
        <v>0.0145</v>
      </c>
      <c r="L47" s="37">
        <f>Inputs!G44 + (Inputs!G24-Inputs!G44)*((10-9)/5)</f>
        <v>0.016</v>
      </c>
    </row>
    <row r="48" ht="15.75" customHeight="1">
      <c r="B48" s="4" t="s">
        <v>150</v>
      </c>
      <c r="C48" s="37" t="str">
        <f>IF(Inputs!C9=0,"",Inputs!C10/Inputs!C9)</f>
        <v/>
      </c>
      <c r="D48" s="37">
        <f>$C$48 + (Inputs!G25-$C$48)*(1/5)</f>
        <v>0.054</v>
      </c>
      <c r="E48" s="37">
        <f>$C$48 + (Inputs!G25-$C$48)*(2/5)</f>
        <v>0.108</v>
      </c>
      <c r="F48" s="37">
        <f>$C$48 + (Inputs!G25-$C$48)*(3/5)</f>
        <v>0.162</v>
      </c>
      <c r="G48" s="37">
        <f>$C$48 + (Inputs!G25-$C$48)*(4/5)</f>
        <v>0.216</v>
      </c>
      <c r="H48" s="37">
        <f>$C$48 + (Inputs!G25-$C$48)*(5/5)</f>
        <v>0.27</v>
      </c>
      <c r="I48" s="37">
        <f>Inputs!G25 + (Inputs!G26-Inputs!G25)*((6-5)/5)</f>
        <v>0.27</v>
      </c>
      <c r="J48" s="37">
        <f>Inputs!G25 + (Inputs!G26-Inputs!G25)*((7-5)/5)</f>
        <v>0.27</v>
      </c>
      <c r="K48" s="37">
        <f>Inputs!G25 + (Inputs!G26-Inputs!G25)*((8-5)/5)</f>
        <v>0.27</v>
      </c>
      <c r="L48" s="37">
        <f>Inputs!G25 + (Inputs!G26-Inputs!G25)*((9-5)/5)</f>
        <v>0.27</v>
      </c>
    </row>
    <row r="49" ht="15.75" customHeight="1">
      <c r="B49" s="4" t="s">
        <v>151</v>
      </c>
      <c r="C49" s="38">
        <f t="shared" ref="C49:L49" si="10">C46*C48</f>
        <v>0</v>
      </c>
      <c r="D49" s="38">
        <f t="shared" si="10"/>
        <v>0</v>
      </c>
      <c r="E49" s="38">
        <f t="shared" si="10"/>
        <v>0</v>
      </c>
      <c r="F49" s="38">
        <f t="shared" si="10"/>
        <v>0</v>
      </c>
      <c r="G49" s="38">
        <f t="shared" si="10"/>
        <v>0</v>
      </c>
      <c r="H49" s="38">
        <f t="shared" si="10"/>
        <v>0</v>
      </c>
      <c r="I49" s="38">
        <f t="shared" si="10"/>
        <v>0</v>
      </c>
      <c r="J49" s="38">
        <f t="shared" si="10"/>
        <v>0</v>
      </c>
      <c r="K49" s="38">
        <f t="shared" si="10"/>
        <v>0</v>
      </c>
      <c r="L49" s="38">
        <f t="shared" si="10"/>
        <v>0</v>
      </c>
    </row>
    <row r="50" ht="15.75" customHeight="1">
      <c r="B50" s="4" t="s">
        <v>98</v>
      </c>
      <c r="C50" s="38" t="str">
        <f>Inputs!C15</f>
        <v/>
      </c>
      <c r="D50" s="38">
        <f>D46*Inputs!G31</f>
        <v>0</v>
      </c>
      <c r="E50" s="38">
        <f>E46*Inputs!G31</f>
        <v>0</v>
      </c>
      <c r="F50" s="38">
        <f>F46*Inputs!G31</f>
        <v>0</v>
      </c>
      <c r="G50" s="38">
        <f>G46*Inputs!G31</f>
        <v>0</v>
      </c>
      <c r="H50" s="38">
        <f>H46*Inputs!G31</f>
        <v>0</v>
      </c>
      <c r="I50" s="38">
        <f>I46*Inputs!G31</f>
        <v>0</v>
      </c>
      <c r="J50" s="38">
        <f>J46*Inputs!G31</f>
        <v>0</v>
      </c>
      <c r="K50" s="38">
        <f>K46*Inputs!G31</f>
        <v>0</v>
      </c>
      <c r="L50" s="38">
        <f>L46*Inputs!G31</f>
        <v>0</v>
      </c>
    </row>
    <row r="51" ht="15.75" customHeight="1">
      <c r="B51" s="4" t="s">
        <v>152</v>
      </c>
      <c r="C51" s="38">
        <f>IF(UPPER(Inputs!C58)="YES",C50/'R&amp;D Capitalization'!$C$5,0)</f>
        <v>0</v>
      </c>
      <c r="D51" s="38">
        <f>IF(UPPER(Inputs!C58)="YES",D50/'R&amp;D Capitalization'!$C$5,0)</f>
        <v>0</v>
      </c>
      <c r="E51" s="38">
        <f>IF(UPPER(Inputs!C58)="YES",E50/'R&amp;D Capitalization'!$C$5,0)</f>
        <v>0</v>
      </c>
      <c r="F51" s="38">
        <f>IF(UPPER(Inputs!C58)="YES",F50/'R&amp;D Capitalization'!$C$5,0)</f>
        <v>0</v>
      </c>
      <c r="G51" s="38">
        <f>IF(UPPER(Inputs!C58)="YES",G50/'R&amp;D Capitalization'!$C$5,0)</f>
        <v>0</v>
      </c>
      <c r="H51" s="38">
        <f>IF(UPPER(Inputs!C58)="YES",H50/'R&amp;D Capitalization'!$C$5,0)</f>
        <v>0</v>
      </c>
      <c r="I51" s="38">
        <f>IF(UPPER(Inputs!C58)="YES",I50/'R&amp;D Capitalization'!$C$5,0)</f>
        <v>0</v>
      </c>
      <c r="J51" s="38">
        <f>IF(UPPER(Inputs!C58)="YES",J50/'R&amp;D Capitalization'!$C$5,0)</f>
        <v>0</v>
      </c>
      <c r="K51" s="38">
        <f>IF(UPPER(Inputs!C58)="YES",K50/'R&amp;D Capitalization'!$C$5,0)</f>
        <v>0</v>
      </c>
      <c r="L51" s="38">
        <f>IF(UPPER(Inputs!C58)="YES",L50/'R&amp;D Capitalization'!$C$5,0)</f>
        <v>0</v>
      </c>
    </row>
    <row r="52" ht="15.75" customHeight="1">
      <c r="B52" s="4" t="s">
        <v>153</v>
      </c>
      <c r="C52" s="38" t="str">
        <f>Inputs!C16</f>
        <v/>
      </c>
      <c r="D52" s="38">
        <f>D46*Inputs!G32</f>
        <v>0</v>
      </c>
      <c r="E52" s="38">
        <f>E46*Inputs!G32</f>
        <v>0</v>
      </c>
      <c r="F52" s="38">
        <f>F46*Inputs!G32</f>
        <v>0</v>
      </c>
      <c r="G52" s="38">
        <f>G46*Inputs!G32</f>
        <v>0</v>
      </c>
      <c r="H52" s="38">
        <f>H46*Inputs!G32</f>
        <v>0</v>
      </c>
      <c r="I52" s="38">
        <f>I46*Inputs!G32</f>
        <v>0</v>
      </c>
      <c r="J52" s="38">
        <f>J46*Inputs!G32</f>
        <v>0</v>
      </c>
      <c r="K52" s="38">
        <f>K46*Inputs!G32</f>
        <v>0</v>
      </c>
      <c r="L52" s="38">
        <f>L46*Inputs!G32</f>
        <v>0</v>
      </c>
    </row>
    <row r="53" ht="15.75" customHeight="1">
      <c r="B53" s="4" t="s">
        <v>135</v>
      </c>
      <c r="C53" s="38">
        <f>IF(UPPER(Inputs!C59)="YES",'Lease Capitalization'!C20,0)</f>
        <v>0</v>
      </c>
      <c r="D53" s="38">
        <f>IF(UPPER(Inputs!C59)="YES",'Lease Capitalization'!C20,0)</f>
        <v>0</v>
      </c>
      <c r="E53" s="38">
        <f>IF(UPPER(Inputs!C59)="YES",'Lease Capitalization'!C20,0)</f>
        <v>0</v>
      </c>
      <c r="F53" s="38">
        <f>IF(UPPER(Inputs!C59)="YES",'Lease Capitalization'!C20,0)</f>
        <v>0</v>
      </c>
      <c r="G53" s="38">
        <f>IF(UPPER(Inputs!C59)="YES",'Lease Capitalization'!C20,0)</f>
        <v>0</v>
      </c>
      <c r="H53" s="38">
        <f>IF(UPPER(Inputs!C59)="YES",'Lease Capitalization'!C20,0)</f>
        <v>0</v>
      </c>
      <c r="I53" s="38">
        <f>IF(UPPER(Inputs!C59)="YES",'Lease Capitalization'!C20,0)</f>
        <v>0</v>
      </c>
      <c r="J53" s="38">
        <f>IF(UPPER(Inputs!C59)="YES",'Lease Capitalization'!C20,0)</f>
        <v>0</v>
      </c>
      <c r="K53" s="38">
        <f>IF(UPPER(Inputs!C59)="YES",'Lease Capitalization'!C20,0)</f>
        <v>0</v>
      </c>
      <c r="L53" s="38">
        <f>IF(UPPER(Inputs!C59)="YES",'Lease Capitalization'!C20,0)</f>
        <v>0</v>
      </c>
    </row>
    <row r="54" ht="15.75" customHeight="1">
      <c r="B54" s="4" t="s">
        <v>154</v>
      </c>
      <c r="C54" s="38">
        <f t="shared" ref="C54:L54" si="11">C49+C50-C51+C52-C53</f>
        <v>0</v>
      </c>
      <c r="D54" s="38">
        <f t="shared" si="11"/>
        <v>0</v>
      </c>
      <c r="E54" s="38">
        <f t="shared" si="11"/>
        <v>0</v>
      </c>
      <c r="F54" s="38">
        <f t="shared" si="11"/>
        <v>0</v>
      </c>
      <c r="G54" s="38">
        <f t="shared" si="11"/>
        <v>0</v>
      </c>
      <c r="H54" s="38">
        <f t="shared" si="11"/>
        <v>0</v>
      </c>
      <c r="I54" s="38">
        <f t="shared" si="11"/>
        <v>0</v>
      </c>
      <c r="J54" s="38">
        <f t="shared" si="11"/>
        <v>0</v>
      </c>
      <c r="K54" s="38">
        <f t="shared" si="11"/>
        <v>0</v>
      </c>
      <c r="L54" s="38">
        <f t="shared" si="11"/>
        <v>0</v>
      </c>
    </row>
    <row r="55" ht="15.75" customHeight="1">
      <c r="B55" s="4" t="s">
        <v>155</v>
      </c>
      <c r="C55" s="37">
        <f>Inputs!G27</f>
        <v>0.185</v>
      </c>
      <c r="D55" s="37">
        <f>Inputs!G27</f>
        <v>0.185</v>
      </c>
      <c r="E55" s="37">
        <f>Inputs!G27</f>
        <v>0.185</v>
      </c>
      <c r="F55" s="37">
        <f>Inputs!G27</f>
        <v>0.185</v>
      </c>
      <c r="G55" s="37">
        <f>Inputs!G27</f>
        <v>0.185</v>
      </c>
      <c r="H55" s="37">
        <f>Inputs!G27</f>
        <v>0.185</v>
      </c>
      <c r="I55" s="37">
        <f>Inputs!G27</f>
        <v>0.185</v>
      </c>
      <c r="J55" s="37">
        <f>Inputs!G27</f>
        <v>0.185</v>
      </c>
      <c r="K55" s="37">
        <f>Inputs!G27</f>
        <v>0.185</v>
      </c>
      <c r="L55" s="37">
        <f>Inputs!G27</f>
        <v>0.185</v>
      </c>
    </row>
    <row r="56" ht="15.75" customHeight="1">
      <c r="B56" s="4" t="s">
        <v>156</v>
      </c>
      <c r="C56" s="38">
        <f t="shared" ref="C56:L56" si="12">C54*(1-C55)</f>
        <v>0</v>
      </c>
      <c r="D56" s="38">
        <f t="shared" si="12"/>
        <v>0</v>
      </c>
      <c r="E56" s="38">
        <f t="shared" si="12"/>
        <v>0</v>
      </c>
      <c r="F56" s="38">
        <f t="shared" si="12"/>
        <v>0</v>
      </c>
      <c r="G56" s="38">
        <f t="shared" si="12"/>
        <v>0</v>
      </c>
      <c r="H56" s="38">
        <f t="shared" si="12"/>
        <v>0</v>
      </c>
      <c r="I56" s="38">
        <f t="shared" si="12"/>
        <v>0</v>
      </c>
      <c r="J56" s="38">
        <f t="shared" si="12"/>
        <v>0</v>
      </c>
      <c r="K56" s="38">
        <f t="shared" si="12"/>
        <v>0</v>
      </c>
      <c r="L56" s="38">
        <f t="shared" si="12"/>
        <v>0</v>
      </c>
    </row>
    <row r="57" ht="15.75" customHeight="1">
      <c r="B57" s="4" t="s">
        <v>157</v>
      </c>
      <c r="C57" s="38" t="str">
        <f>Inputs!C12</f>
        <v/>
      </c>
      <c r="D57" s="38">
        <f>D46*Inputs!G28</f>
        <v>0</v>
      </c>
      <c r="E57" s="38">
        <f>E46*Inputs!G28</f>
        <v>0</v>
      </c>
      <c r="F57" s="38">
        <f>F46*Inputs!G28</f>
        <v>0</v>
      </c>
      <c r="G57" s="38">
        <f>G46*Inputs!G28</f>
        <v>0</v>
      </c>
      <c r="H57" s="38">
        <f>H46*Inputs!G28</f>
        <v>0</v>
      </c>
      <c r="I57" s="38">
        <f>I46*Inputs!G28</f>
        <v>0</v>
      </c>
      <c r="J57" s="38">
        <f>J46*Inputs!G28</f>
        <v>0</v>
      </c>
      <c r="K57" s="38">
        <f>K46*Inputs!G28</f>
        <v>0</v>
      </c>
      <c r="L57" s="38">
        <f>L46*Inputs!G28</f>
        <v>0</v>
      </c>
    </row>
    <row r="58" ht="15.75" customHeight="1">
      <c r="B58" s="4" t="s">
        <v>158</v>
      </c>
      <c r="C58" s="38">
        <f t="shared" ref="C58:L58" si="13">C57+C51+C53</f>
        <v>0</v>
      </c>
      <c r="D58" s="38">
        <f t="shared" si="13"/>
        <v>0</v>
      </c>
      <c r="E58" s="38">
        <f t="shared" si="13"/>
        <v>0</v>
      </c>
      <c r="F58" s="38">
        <f t="shared" si="13"/>
        <v>0</v>
      </c>
      <c r="G58" s="38">
        <f t="shared" si="13"/>
        <v>0</v>
      </c>
      <c r="H58" s="38">
        <f t="shared" si="13"/>
        <v>0</v>
      </c>
      <c r="I58" s="38">
        <f t="shared" si="13"/>
        <v>0</v>
      </c>
      <c r="J58" s="38">
        <f t="shared" si="13"/>
        <v>0</v>
      </c>
      <c r="K58" s="38">
        <f t="shared" si="13"/>
        <v>0</v>
      </c>
      <c r="L58" s="38">
        <f t="shared" si="13"/>
        <v>0</v>
      </c>
    </row>
    <row r="59" ht="15.75" customHeight="1">
      <c r="B59" s="4" t="s">
        <v>159</v>
      </c>
      <c r="C59" s="38" t="str">
        <f>Inputs!C13</f>
        <v/>
      </c>
      <c r="D59" s="38">
        <f>D46*Inputs!G29</f>
        <v>0</v>
      </c>
      <c r="E59" s="38">
        <f>E46*Inputs!G29</f>
        <v>0</v>
      </c>
      <c r="F59" s="38">
        <f>F46*Inputs!G29</f>
        <v>0</v>
      </c>
      <c r="G59" s="38">
        <f>G46*Inputs!G29</f>
        <v>0</v>
      </c>
      <c r="H59" s="38">
        <f>H46*Inputs!G29</f>
        <v>0</v>
      </c>
      <c r="I59" s="38">
        <f>I46*Inputs!G29</f>
        <v>0</v>
      </c>
      <c r="J59" s="38">
        <f>J46*Inputs!G29</f>
        <v>0</v>
      </c>
      <c r="K59" s="38">
        <f>K46*Inputs!G29</f>
        <v>0</v>
      </c>
      <c r="L59" s="38">
        <f>L46*Inputs!G29</f>
        <v>0</v>
      </c>
    </row>
    <row r="60" ht="15.75" customHeight="1">
      <c r="B60" s="4" t="s">
        <v>160</v>
      </c>
      <c r="C60" s="38" t="str">
        <f>IF(UPPER(Inputs!C58)="YES",C50,0)</f>
        <v/>
      </c>
      <c r="D60" s="38">
        <f>IF(UPPER(Inputs!C58)="YES",D50,0)</f>
        <v>0</v>
      </c>
      <c r="E60" s="38">
        <f>IF(UPPER(Inputs!C58)="YES",E50,0)</f>
        <v>0</v>
      </c>
      <c r="F60" s="38">
        <f>IF(UPPER(Inputs!C58)="YES",F50,0)</f>
        <v>0</v>
      </c>
      <c r="G60" s="38">
        <f>IF(UPPER(Inputs!C58)="YES",G50,0)</f>
        <v>0</v>
      </c>
      <c r="H60" s="38">
        <f>IF(UPPER(Inputs!C58)="YES",H50,0)</f>
        <v>0</v>
      </c>
      <c r="I60" s="38">
        <f>IF(UPPER(Inputs!C58)="YES",I50,0)</f>
        <v>0</v>
      </c>
      <c r="J60" s="38">
        <f>IF(UPPER(Inputs!C58)="YES",J50,0)</f>
        <v>0</v>
      </c>
      <c r="K60" s="38">
        <f>IF(UPPER(Inputs!C58)="YES",K50,0)</f>
        <v>0</v>
      </c>
      <c r="L60" s="38">
        <f>IF(UPPER(Inputs!C58)="YES",L50,0)</f>
        <v>0</v>
      </c>
    </row>
    <row r="61" ht="15.75" customHeight="1">
      <c r="B61" s="4" t="s">
        <v>161</v>
      </c>
      <c r="C61" s="38" t="str">
        <f>Inputs!C14</f>
        <v/>
      </c>
      <c r="D61" s="38">
        <f>D46*Inputs!G30</f>
        <v>0</v>
      </c>
      <c r="E61" s="38">
        <f>E46*Inputs!G30</f>
        <v>0</v>
      </c>
      <c r="F61" s="38">
        <f>F46*Inputs!G30</f>
        <v>0</v>
      </c>
      <c r="G61" s="38">
        <f>G46*Inputs!G30</f>
        <v>0</v>
      </c>
      <c r="H61" s="38">
        <f>H46*Inputs!G30</f>
        <v>0</v>
      </c>
      <c r="I61" s="38">
        <f>I46*Inputs!G30</f>
        <v>0</v>
      </c>
      <c r="J61" s="38">
        <f>J46*Inputs!G30</f>
        <v>0</v>
      </c>
      <c r="K61" s="38">
        <f>K46*Inputs!G30</f>
        <v>0</v>
      </c>
      <c r="L61" s="38">
        <f>L46*Inputs!G30</f>
        <v>0</v>
      </c>
    </row>
    <row r="62" ht="15.75" customHeight="1">
      <c r="B62" s="4" t="s">
        <v>162</v>
      </c>
      <c r="C62" s="38">
        <f t="shared" ref="C62:L62" si="14">C59+C60+C61</f>
        <v>0</v>
      </c>
      <c r="D62" s="38">
        <f t="shared" si="14"/>
        <v>0</v>
      </c>
      <c r="E62" s="38">
        <f t="shared" si="14"/>
        <v>0</v>
      </c>
      <c r="F62" s="38">
        <f t="shared" si="14"/>
        <v>0</v>
      </c>
      <c r="G62" s="38">
        <f t="shared" si="14"/>
        <v>0</v>
      </c>
      <c r="H62" s="38">
        <f t="shared" si="14"/>
        <v>0</v>
      </c>
      <c r="I62" s="38">
        <f t="shared" si="14"/>
        <v>0</v>
      </c>
      <c r="J62" s="38">
        <f t="shared" si="14"/>
        <v>0</v>
      </c>
      <c r="K62" s="38">
        <f t="shared" si="14"/>
        <v>0</v>
      </c>
      <c r="L62" s="38">
        <f t="shared" si="14"/>
        <v>0</v>
      </c>
    </row>
    <row r="63" ht="15.75" customHeight="1">
      <c r="B63" s="4" t="s">
        <v>163</v>
      </c>
      <c r="C63" s="38">
        <f t="shared" ref="C63:L63" si="15">C56+C58-C62</f>
        <v>0</v>
      </c>
      <c r="D63" s="38">
        <f t="shared" si="15"/>
        <v>0</v>
      </c>
      <c r="E63" s="38">
        <f t="shared" si="15"/>
        <v>0</v>
      </c>
      <c r="F63" s="38">
        <f t="shared" si="15"/>
        <v>0</v>
      </c>
      <c r="G63" s="38">
        <f t="shared" si="15"/>
        <v>0</v>
      </c>
      <c r="H63" s="38">
        <f t="shared" si="15"/>
        <v>0</v>
      </c>
      <c r="I63" s="38">
        <f t="shared" si="15"/>
        <v>0</v>
      </c>
      <c r="J63" s="38">
        <f t="shared" si="15"/>
        <v>0</v>
      </c>
      <c r="K63" s="38">
        <f t="shared" si="15"/>
        <v>0</v>
      </c>
      <c r="L63" s="38">
        <f t="shared" si="15"/>
        <v>0</v>
      </c>
    </row>
    <row r="64" ht="15.75" customHeight="1">
      <c r="B64" s="4" t="s">
        <v>123</v>
      </c>
      <c r="C64" s="43"/>
      <c r="D64" s="43">
        <f>1/(1+Inputs!G43)^1</f>
        <v>0.909454691</v>
      </c>
      <c r="E64" s="43">
        <f>1/(1+Inputs!G43)^2</f>
        <v>0.8271078349</v>
      </c>
      <c r="F64" s="43">
        <f>1/(1+Inputs!G43)^3</f>
        <v>0.7522171004</v>
      </c>
      <c r="G64" s="43">
        <f>1/(1+Inputs!G43)^4</f>
        <v>0.6841073706</v>
      </c>
      <c r="H64" s="43">
        <f>1/(1+Inputs!G43)^5</f>
        <v>0.6221646573</v>
      </c>
      <c r="I64" s="43">
        <f>1/(1+Inputs!G43)^6</f>
        <v>0.5658305661</v>
      </c>
      <c r="J64" s="43">
        <f>1/(1+Inputs!G43)^7</f>
        <v>0.5145972627</v>
      </c>
      <c r="K64" s="43">
        <f>1/(1+Inputs!G43)^8</f>
        <v>0.4680028945</v>
      </c>
      <c r="L64" s="43">
        <f>1/(1+Inputs!G43)^9</f>
        <v>0.4256274278</v>
      </c>
    </row>
    <row r="65" ht="15.75" customHeight="1">
      <c r="B65" s="4" t="s">
        <v>164</v>
      </c>
      <c r="C65" s="38"/>
      <c r="D65" s="38">
        <f t="shared" ref="D65:L65" si="16">D63*D64</f>
        <v>0</v>
      </c>
      <c r="E65" s="38">
        <f t="shared" si="16"/>
        <v>0</v>
      </c>
      <c r="F65" s="38">
        <f t="shared" si="16"/>
        <v>0</v>
      </c>
      <c r="G65" s="38">
        <f t="shared" si="16"/>
        <v>0</v>
      </c>
      <c r="H65" s="38">
        <f t="shared" si="16"/>
        <v>0</v>
      </c>
      <c r="I65" s="38">
        <f t="shared" si="16"/>
        <v>0</v>
      </c>
      <c r="J65" s="38">
        <f t="shared" si="16"/>
        <v>0</v>
      </c>
      <c r="K65" s="38">
        <f t="shared" si="16"/>
        <v>0</v>
      </c>
      <c r="L65" s="38">
        <f t="shared" si="16"/>
        <v>0</v>
      </c>
    </row>
    <row r="66" ht="15.75" customHeight="1"/>
    <row r="67" ht="19.5" customHeight="1">
      <c r="B67" s="17" t="s">
        <v>165</v>
      </c>
    </row>
    <row r="68" ht="15.75" customHeight="1"/>
    <row r="69" ht="15.75" customHeight="1">
      <c r="B69" s="44" t="s">
        <v>166</v>
      </c>
      <c r="C69" s="45">
        <f>L63</f>
        <v>0</v>
      </c>
    </row>
    <row r="70" ht="15.75" customHeight="1">
      <c r="B70" s="44" t="s">
        <v>167</v>
      </c>
      <c r="C70" s="46">
        <f>C69*(1+Inputs!G44)/(Inputs!G43-Inputs!G44)</f>
        <v>0</v>
      </c>
    </row>
    <row r="71" ht="15.75" customHeight="1">
      <c r="B71" s="44" t="s">
        <v>168</v>
      </c>
      <c r="C71" s="46">
        <f>C70*L64</f>
        <v>0</v>
      </c>
    </row>
    <row r="72" ht="15.75" customHeight="1">
      <c r="B72" s="33" t="s">
        <v>169</v>
      </c>
      <c r="C72" s="47">
        <f>SUM(D65:L65)+C71</f>
        <v>0</v>
      </c>
    </row>
    <row r="73" ht="15.75" customHeight="1"/>
    <row r="74" ht="15.75" customHeight="1">
      <c r="B74" s="33" t="s">
        <v>170</v>
      </c>
      <c r="C74" s="47">
        <f>C72-Inputs!C50-Inputs!C51+Inputs!C49+Inputs!C52</f>
        <v>0</v>
      </c>
    </row>
    <row r="75" ht="15.75" customHeight="1">
      <c r="B75" s="44" t="s">
        <v>72</v>
      </c>
      <c r="C75" s="48">
        <f>Inputs!C55</f>
        <v>0</v>
      </c>
    </row>
    <row r="76" ht="15.75" customHeight="1">
      <c r="B76" s="33" t="s">
        <v>171</v>
      </c>
      <c r="C76" s="49" t="str">
        <f>C74/C75</f>
        <v>#DIV/0!</v>
      </c>
    </row>
    <row r="77" ht="15.75" customHeight="1"/>
    <row r="78" ht="15.75" customHeight="1"/>
    <row r="79" ht="15.75" customHeight="1"/>
    <row r="80" ht="15.75" customHeight="1">
      <c r="B80" s="17" t="s">
        <v>174</v>
      </c>
    </row>
    <row r="81" ht="15.75" customHeight="1">
      <c r="B81" s="4" t="s">
        <v>175</v>
      </c>
    </row>
    <row r="82" ht="18.0" customHeight="1">
      <c r="B82" s="18"/>
      <c r="C82" s="18" t="s">
        <v>137</v>
      </c>
      <c r="D82" s="18" t="s">
        <v>138</v>
      </c>
      <c r="E82" s="18" t="s">
        <v>139</v>
      </c>
      <c r="F82" s="18" t="s">
        <v>140</v>
      </c>
      <c r="G82" s="18" t="s">
        <v>141</v>
      </c>
      <c r="H82" s="18" t="s">
        <v>142</v>
      </c>
      <c r="I82" s="18" t="s">
        <v>143</v>
      </c>
      <c r="J82" s="18" t="s">
        <v>144</v>
      </c>
      <c r="K82" s="18" t="s">
        <v>145</v>
      </c>
      <c r="L82" s="18" t="s">
        <v>146</v>
      </c>
      <c r="M82" s="18" t="s">
        <v>147</v>
      </c>
    </row>
    <row r="83" ht="15.75" customHeight="1">
      <c r="B83" s="4" t="s">
        <v>148</v>
      </c>
      <c r="C83" s="38" t="str">
        <f>Inputs!C9</f>
        <v/>
      </c>
      <c r="D83" s="38">
        <f t="shared" ref="D83:L83" si="17">C83*(1+D84)</f>
        <v>0</v>
      </c>
      <c r="E83" s="38">
        <f t="shared" si="17"/>
        <v>0</v>
      </c>
      <c r="F83" s="38">
        <f t="shared" si="17"/>
        <v>0</v>
      </c>
      <c r="G83" s="38">
        <f t="shared" si="17"/>
        <v>0</v>
      </c>
      <c r="H83" s="38">
        <f t="shared" si="17"/>
        <v>0</v>
      </c>
      <c r="I83" s="38">
        <f t="shared" si="17"/>
        <v>0</v>
      </c>
      <c r="J83" s="38">
        <f t="shared" si="17"/>
        <v>0</v>
      </c>
      <c r="K83" s="38">
        <f t="shared" si="17"/>
        <v>0</v>
      </c>
      <c r="L83" s="38">
        <f t="shared" si="17"/>
        <v>0</v>
      </c>
    </row>
    <row r="84" ht="15.75" customHeight="1">
      <c r="B84" s="4" t="s">
        <v>149</v>
      </c>
      <c r="C84" s="37"/>
      <c r="D84" s="37">
        <f>Inputs!I20</f>
        <v>0.065</v>
      </c>
      <c r="E84" s="37">
        <f>Inputs!I21</f>
        <v>0.055</v>
      </c>
      <c r="F84" s="37">
        <f>Inputs!I22</f>
        <v>0.045</v>
      </c>
      <c r="G84" s="37">
        <f>Inputs!I23</f>
        <v>0.045</v>
      </c>
      <c r="H84" s="37">
        <f>Inputs!I24</f>
        <v>0.045</v>
      </c>
      <c r="I84" s="37">
        <f>Inputs!I44 + (Inputs!I24-Inputs!I44)*((10-6)/5)</f>
        <v>0.042</v>
      </c>
      <c r="J84" s="37">
        <f>Inputs!I44 + (Inputs!I24-Inputs!I44)*((10-7)/5)</f>
        <v>0.039</v>
      </c>
      <c r="K84" s="37">
        <f>Inputs!I44 + (Inputs!I24-Inputs!I44)*((10-8)/5)</f>
        <v>0.036</v>
      </c>
      <c r="L84" s="37">
        <f>Inputs!I44 + (Inputs!I24-Inputs!I44)*((10-9)/5)</f>
        <v>0.033</v>
      </c>
    </row>
    <row r="85" ht="15.75" customHeight="1">
      <c r="B85" s="4" t="s">
        <v>150</v>
      </c>
      <c r="C85" s="37" t="str">
        <f>IF(Inputs!C9=0,"",Inputs!C10/Inputs!C9)</f>
        <v/>
      </c>
      <c r="D85" s="37">
        <f>$C$85 + (Inputs!I25-$C$85)*(1/5)</f>
        <v>0.066</v>
      </c>
      <c r="E85" s="37">
        <f>$C$85 + (Inputs!I25-$C$85)*(2/5)</f>
        <v>0.132</v>
      </c>
      <c r="F85" s="37">
        <f>$C$85 + (Inputs!I25-$C$85)*(3/5)</f>
        <v>0.198</v>
      </c>
      <c r="G85" s="37">
        <f>$C$85 + (Inputs!I25-$C$85)*(4/5)</f>
        <v>0.264</v>
      </c>
      <c r="H85" s="37">
        <f>$C$85 + (Inputs!I25-$C$85)*(5/5)</f>
        <v>0.33</v>
      </c>
      <c r="I85" s="37">
        <f>Inputs!I25 + (Inputs!I26-Inputs!I25)*((6-5)/5)</f>
        <v>0.33</v>
      </c>
      <c r="J85" s="37">
        <f>Inputs!I25 + (Inputs!I26-Inputs!I25)*((7-5)/5)</f>
        <v>0.33</v>
      </c>
      <c r="K85" s="37">
        <f>Inputs!I25 + (Inputs!I26-Inputs!I25)*((8-5)/5)</f>
        <v>0.33</v>
      </c>
      <c r="L85" s="37">
        <f>Inputs!I25 + (Inputs!I26-Inputs!I25)*((9-5)/5)</f>
        <v>0.33</v>
      </c>
    </row>
    <row r="86" ht="15.75" customHeight="1">
      <c r="B86" s="4" t="s">
        <v>151</v>
      </c>
      <c r="C86" s="38">
        <f t="shared" ref="C86:L86" si="18">C83*C85</f>
        <v>0</v>
      </c>
      <c r="D86" s="38">
        <f t="shared" si="18"/>
        <v>0</v>
      </c>
      <c r="E86" s="38">
        <f t="shared" si="18"/>
        <v>0</v>
      </c>
      <c r="F86" s="38">
        <f t="shared" si="18"/>
        <v>0</v>
      </c>
      <c r="G86" s="38">
        <f t="shared" si="18"/>
        <v>0</v>
      </c>
      <c r="H86" s="38">
        <f t="shared" si="18"/>
        <v>0</v>
      </c>
      <c r="I86" s="38">
        <f t="shared" si="18"/>
        <v>0</v>
      </c>
      <c r="J86" s="38">
        <f t="shared" si="18"/>
        <v>0</v>
      </c>
      <c r="K86" s="38">
        <f t="shared" si="18"/>
        <v>0</v>
      </c>
      <c r="L86" s="38">
        <f t="shared" si="18"/>
        <v>0</v>
      </c>
    </row>
    <row r="87" ht="15.75" customHeight="1">
      <c r="B87" s="4" t="s">
        <v>98</v>
      </c>
      <c r="C87" s="38" t="str">
        <f>Inputs!C15</f>
        <v/>
      </c>
      <c r="D87" s="38">
        <f>D83*Inputs!I31</f>
        <v>0</v>
      </c>
      <c r="E87" s="38">
        <f>E83*Inputs!I31</f>
        <v>0</v>
      </c>
      <c r="F87" s="38">
        <f>F83*Inputs!I31</f>
        <v>0</v>
      </c>
      <c r="G87" s="38">
        <f>G83*Inputs!I31</f>
        <v>0</v>
      </c>
      <c r="H87" s="38">
        <f>H83*Inputs!I31</f>
        <v>0</v>
      </c>
      <c r="I87" s="38">
        <f>I83*Inputs!I31</f>
        <v>0</v>
      </c>
      <c r="J87" s="38">
        <f>J83*Inputs!I31</f>
        <v>0</v>
      </c>
      <c r="K87" s="38">
        <f>K83*Inputs!I31</f>
        <v>0</v>
      </c>
      <c r="L87" s="38">
        <f>L83*Inputs!I31</f>
        <v>0</v>
      </c>
    </row>
    <row r="88" ht="15.75" customHeight="1">
      <c r="B88" s="4" t="s">
        <v>152</v>
      </c>
      <c r="C88" s="38">
        <f>IF(UPPER(Inputs!C58)="YES",C87/'R&amp;D Capitalization'!$C$5,0)</f>
        <v>0</v>
      </c>
      <c r="D88" s="38">
        <f>IF(UPPER(Inputs!C58)="YES",D87/'R&amp;D Capitalization'!$C$5,0)</f>
        <v>0</v>
      </c>
      <c r="E88" s="38">
        <f>IF(UPPER(Inputs!C58)="YES",E87/'R&amp;D Capitalization'!$C$5,0)</f>
        <v>0</v>
      </c>
      <c r="F88" s="38">
        <f>IF(UPPER(Inputs!C58)="YES",F87/'R&amp;D Capitalization'!$C$5,0)</f>
        <v>0</v>
      </c>
      <c r="G88" s="38">
        <f>IF(UPPER(Inputs!C58)="YES",G87/'R&amp;D Capitalization'!$C$5,0)</f>
        <v>0</v>
      </c>
      <c r="H88" s="38">
        <f>IF(UPPER(Inputs!C58)="YES",H87/'R&amp;D Capitalization'!$C$5,0)</f>
        <v>0</v>
      </c>
      <c r="I88" s="38">
        <f>IF(UPPER(Inputs!C58)="YES",I87/'R&amp;D Capitalization'!$C$5,0)</f>
        <v>0</v>
      </c>
      <c r="J88" s="38">
        <f>IF(UPPER(Inputs!C58)="YES",J87/'R&amp;D Capitalization'!$C$5,0)</f>
        <v>0</v>
      </c>
      <c r="K88" s="38">
        <f>IF(UPPER(Inputs!C58)="YES",K87/'R&amp;D Capitalization'!$C$5,0)</f>
        <v>0</v>
      </c>
      <c r="L88" s="38">
        <f>IF(UPPER(Inputs!C58)="YES",L87/'R&amp;D Capitalization'!$C$5,0)</f>
        <v>0</v>
      </c>
    </row>
    <row r="89" ht="15.75" customHeight="1">
      <c r="B89" s="4" t="s">
        <v>153</v>
      </c>
      <c r="C89" s="38" t="str">
        <f>Inputs!C16</f>
        <v/>
      </c>
      <c r="D89" s="38">
        <f>D83*Inputs!I32</f>
        <v>0</v>
      </c>
      <c r="E89" s="38">
        <f>E83*Inputs!I32</f>
        <v>0</v>
      </c>
      <c r="F89" s="38">
        <f>F83*Inputs!I32</f>
        <v>0</v>
      </c>
      <c r="G89" s="38">
        <f>G83*Inputs!I32</f>
        <v>0</v>
      </c>
      <c r="H89" s="38">
        <f>H83*Inputs!I32</f>
        <v>0</v>
      </c>
      <c r="I89" s="38">
        <f>I83*Inputs!I32</f>
        <v>0</v>
      </c>
      <c r="J89" s="38">
        <f>J83*Inputs!I32</f>
        <v>0</v>
      </c>
      <c r="K89" s="38">
        <f>K83*Inputs!I32</f>
        <v>0</v>
      </c>
      <c r="L89" s="38">
        <f>L83*Inputs!I32</f>
        <v>0</v>
      </c>
    </row>
    <row r="90" ht="15.75" customHeight="1">
      <c r="B90" s="4" t="s">
        <v>135</v>
      </c>
      <c r="C90" s="38">
        <f>IF(UPPER(Inputs!C59)="YES",'Lease Capitalization'!C20,0)</f>
        <v>0</v>
      </c>
      <c r="D90" s="38">
        <f>IF(UPPER(Inputs!C59)="YES",'Lease Capitalization'!C20,0)</f>
        <v>0</v>
      </c>
      <c r="E90" s="38">
        <f>IF(UPPER(Inputs!C59)="YES",'Lease Capitalization'!C20,0)</f>
        <v>0</v>
      </c>
      <c r="F90" s="38">
        <f>IF(UPPER(Inputs!C59)="YES",'Lease Capitalization'!C20,0)</f>
        <v>0</v>
      </c>
      <c r="G90" s="38">
        <f>IF(UPPER(Inputs!C59)="YES",'Lease Capitalization'!C20,0)</f>
        <v>0</v>
      </c>
      <c r="H90" s="38">
        <f>IF(UPPER(Inputs!C59)="YES",'Lease Capitalization'!C20,0)</f>
        <v>0</v>
      </c>
      <c r="I90" s="38">
        <f>IF(UPPER(Inputs!C59)="YES",'Lease Capitalization'!C20,0)</f>
        <v>0</v>
      </c>
      <c r="J90" s="38">
        <f>IF(UPPER(Inputs!C59)="YES",'Lease Capitalization'!C20,0)</f>
        <v>0</v>
      </c>
      <c r="K90" s="38">
        <f>IF(UPPER(Inputs!C59)="YES",'Lease Capitalization'!C20,0)</f>
        <v>0</v>
      </c>
      <c r="L90" s="38">
        <f>IF(UPPER(Inputs!C59)="YES",'Lease Capitalization'!C20,0)</f>
        <v>0</v>
      </c>
    </row>
    <row r="91" ht="15.75" customHeight="1">
      <c r="B91" s="4" t="s">
        <v>154</v>
      </c>
      <c r="C91" s="38">
        <f t="shared" ref="C91:L91" si="19">C86+C87-C88+C89-C90</f>
        <v>0</v>
      </c>
      <c r="D91" s="38">
        <f t="shared" si="19"/>
        <v>0</v>
      </c>
      <c r="E91" s="38">
        <f t="shared" si="19"/>
        <v>0</v>
      </c>
      <c r="F91" s="38">
        <f t="shared" si="19"/>
        <v>0</v>
      </c>
      <c r="G91" s="38">
        <f t="shared" si="19"/>
        <v>0</v>
      </c>
      <c r="H91" s="38">
        <f t="shared" si="19"/>
        <v>0</v>
      </c>
      <c r="I91" s="38">
        <f t="shared" si="19"/>
        <v>0</v>
      </c>
      <c r="J91" s="38">
        <f t="shared" si="19"/>
        <v>0</v>
      </c>
      <c r="K91" s="38">
        <f t="shared" si="19"/>
        <v>0</v>
      </c>
      <c r="L91" s="38">
        <f t="shared" si="19"/>
        <v>0</v>
      </c>
    </row>
    <row r="92" ht="15.75" customHeight="1">
      <c r="B92" s="4" t="s">
        <v>155</v>
      </c>
      <c r="C92" s="37">
        <f>Inputs!I27</f>
        <v>0.175</v>
      </c>
      <c r="D92" s="37">
        <f>Inputs!I27</f>
        <v>0.175</v>
      </c>
      <c r="E92" s="37">
        <f>Inputs!I27</f>
        <v>0.175</v>
      </c>
      <c r="F92" s="37">
        <f>Inputs!I27</f>
        <v>0.175</v>
      </c>
      <c r="G92" s="37">
        <f>Inputs!I27</f>
        <v>0.175</v>
      </c>
      <c r="H92" s="37">
        <f>Inputs!I27</f>
        <v>0.175</v>
      </c>
      <c r="I92" s="37">
        <f>Inputs!I27</f>
        <v>0.175</v>
      </c>
      <c r="J92" s="37">
        <f>Inputs!I27</f>
        <v>0.175</v>
      </c>
      <c r="K92" s="37">
        <f>Inputs!I27</f>
        <v>0.175</v>
      </c>
      <c r="L92" s="37">
        <f>Inputs!I27</f>
        <v>0.175</v>
      </c>
    </row>
    <row r="93" ht="15.75" customHeight="1">
      <c r="B93" s="4" t="s">
        <v>156</v>
      </c>
      <c r="C93" s="38">
        <f t="shared" ref="C93:L93" si="20">C91*(1-C92)</f>
        <v>0</v>
      </c>
      <c r="D93" s="38">
        <f t="shared" si="20"/>
        <v>0</v>
      </c>
      <c r="E93" s="38">
        <f t="shared" si="20"/>
        <v>0</v>
      </c>
      <c r="F93" s="38">
        <f t="shared" si="20"/>
        <v>0</v>
      </c>
      <c r="G93" s="38">
        <f t="shared" si="20"/>
        <v>0</v>
      </c>
      <c r="H93" s="38">
        <f t="shared" si="20"/>
        <v>0</v>
      </c>
      <c r="I93" s="38">
        <f t="shared" si="20"/>
        <v>0</v>
      </c>
      <c r="J93" s="38">
        <f t="shared" si="20"/>
        <v>0</v>
      </c>
      <c r="K93" s="38">
        <f t="shared" si="20"/>
        <v>0</v>
      </c>
      <c r="L93" s="38">
        <f t="shared" si="20"/>
        <v>0</v>
      </c>
    </row>
    <row r="94" ht="15.75" customHeight="1">
      <c r="B94" s="4" t="s">
        <v>157</v>
      </c>
      <c r="C94" s="38" t="str">
        <f>Inputs!C12</f>
        <v/>
      </c>
      <c r="D94" s="38">
        <f>D83*Inputs!I28</f>
        <v>0</v>
      </c>
      <c r="E94" s="38">
        <f>E83*Inputs!I28</f>
        <v>0</v>
      </c>
      <c r="F94" s="38">
        <f>F83*Inputs!I28</f>
        <v>0</v>
      </c>
      <c r="G94" s="38">
        <f>G83*Inputs!I28</f>
        <v>0</v>
      </c>
      <c r="H94" s="38">
        <f>H83*Inputs!I28</f>
        <v>0</v>
      </c>
      <c r="I94" s="38">
        <f>I83*Inputs!I28</f>
        <v>0</v>
      </c>
      <c r="J94" s="38">
        <f>J83*Inputs!I28</f>
        <v>0</v>
      </c>
      <c r="K94" s="38">
        <f>K83*Inputs!I28</f>
        <v>0</v>
      </c>
      <c r="L94" s="38">
        <f>L83*Inputs!I28</f>
        <v>0</v>
      </c>
    </row>
    <row r="95" ht="15.75" customHeight="1">
      <c r="B95" s="4" t="s">
        <v>158</v>
      </c>
      <c r="C95" s="38">
        <f t="shared" ref="C95:L95" si="21">C94+C88+C90</f>
        <v>0</v>
      </c>
      <c r="D95" s="38">
        <f t="shared" si="21"/>
        <v>0</v>
      </c>
      <c r="E95" s="38">
        <f t="shared" si="21"/>
        <v>0</v>
      </c>
      <c r="F95" s="38">
        <f t="shared" si="21"/>
        <v>0</v>
      </c>
      <c r="G95" s="38">
        <f t="shared" si="21"/>
        <v>0</v>
      </c>
      <c r="H95" s="38">
        <f t="shared" si="21"/>
        <v>0</v>
      </c>
      <c r="I95" s="38">
        <f t="shared" si="21"/>
        <v>0</v>
      </c>
      <c r="J95" s="38">
        <f t="shared" si="21"/>
        <v>0</v>
      </c>
      <c r="K95" s="38">
        <f t="shared" si="21"/>
        <v>0</v>
      </c>
      <c r="L95" s="38">
        <f t="shared" si="21"/>
        <v>0</v>
      </c>
    </row>
    <row r="96" ht="15.75" customHeight="1">
      <c r="B96" s="4" t="s">
        <v>159</v>
      </c>
      <c r="C96" s="38" t="str">
        <f>Inputs!C13</f>
        <v/>
      </c>
      <c r="D96" s="38">
        <f>D83*Inputs!I29</f>
        <v>0</v>
      </c>
      <c r="E96" s="38">
        <f>E83*Inputs!I29</f>
        <v>0</v>
      </c>
      <c r="F96" s="38">
        <f>F83*Inputs!I29</f>
        <v>0</v>
      </c>
      <c r="G96" s="38">
        <f>G83*Inputs!I29</f>
        <v>0</v>
      </c>
      <c r="H96" s="38">
        <f>H83*Inputs!I29</f>
        <v>0</v>
      </c>
      <c r="I96" s="38">
        <f>I83*Inputs!I29</f>
        <v>0</v>
      </c>
      <c r="J96" s="38">
        <f>J83*Inputs!I29</f>
        <v>0</v>
      </c>
      <c r="K96" s="38">
        <f>K83*Inputs!I29</f>
        <v>0</v>
      </c>
      <c r="L96" s="38">
        <f>L83*Inputs!I29</f>
        <v>0</v>
      </c>
    </row>
    <row r="97" ht="15.75" customHeight="1">
      <c r="B97" s="4" t="s">
        <v>160</v>
      </c>
      <c r="C97" s="38" t="str">
        <f>IF(UPPER(Inputs!C58)="YES",C87,0)</f>
        <v/>
      </c>
      <c r="D97" s="38">
        <f>IF(UPPER(Inputs!C58)="YES",D87,0)</f>
        <v>0</v>
      </c>
      <c r="E97" s="38">
        <f>IF(UPPER(Inputs!C58)="YES",E87,0)</f>
        <v>0</v>
      </c>
      <c r="F97" s="38">
        <f>IF(UPPER(Inputs!C58)="YES",F87,0)</f>
        <v>0</v>
      </c>
      <c r="G97" s="38">
        <f>IF(UPPER(Inputs!C58)="YES",G87,0)</f>
        <v>0</v>
      </c>
      <c r="H97" s="38">
        <f>IF(UPPER(Inputs!C58)="YES",H87,0)</f>
        <v>0</v>
      </c>
      <c r="I97" s="38">
        <f>IF(UPPER(Inputs!C58)="YES",I87,0)</f>
        <v>0</v>
      </c>
      <c r="J97" s="38">
        <f>IF(UPPER(Inputs!C58)="YES",J87,0)</f>
        <v>0</v>
      </c>
      <c r="K97" s="38">
        <f>IF(UPPER(Inputs!C58)="YES",K87,0)</f>
        <v>0</v>
      </c>
      <c r="L97" s="38">
        <f>IF(UPPER(Inputs!C58)="YES",L87,0)</f>
        <v>0</v>
      </c>
    </row>
    <row r="98" ht="15.75" customHeight="1">
      <c r="B98" s="4" t="s">
        <v>161</v>
      </c>
      <c r="C98" s="38" t="str">
        <f>Inputs!C14</f>
        <v/>
      </c>
      <c r="D98" s="38">
        <f>D83*Inputs!I30</f>
        <v>0</v>
      </c>
      <c r="E98" s="38">
        <f>E83*Inputs!I30</f>
        <v>0</v>
      </c>
      <c r="F98" s="38">
        <f>F83*Inputs!I30</f>
        <v>0</v>
      </c>
      <c r="G98" s="38">
        <f>G83*Inputs!I30</f>
        <v>0</v>
      </c>
      <c r="H98" s="38">
        <f>H83*Inputs!I30</f>
        <v>0</v>
      </c>
      <c r="I98" s="38">
        <f>I83*Inputs!I30</f>
        <v>0</v>
      </c>
      <c r="J98" s="38">
        <f>J83*Inputs!I30</f>
        <v>0</v>
      </c>
      <c r="K98" s="38">
        <f>K83*Inputs!I30</f>
        <v>0</v>
      </c>
      <c r="L98" s="38">
        <f>L83*Inputs!I30</f>
        <v>0</v>
      </c>
    </row>
    <row r="99" ht="15.75" customHeight="1">
      <c r="B99" s="4" t="s">
        <v>162</v>
      </c>
      <c r="C99" s="38">
        <f t="shared" ref="C99:L99" si="22">C96+C97+C98</f>
        <v>0</v>
      </c>
      <c r="D99" s="38">
        <f t="shared" si="22"/>
        <v>0</v>
      </c>
      <c r="E99" s="38">
        <f t="shared" si="22"/>
        <v>0</v>
      </c>
      <c r="F99" s="38">
        <f t="shared" si="22"/>
        <v>0</v>
      </c>
      <c r="G99" s="38">
        <f t="shared" si="22"/>
        <v>0</v>
      </c>
      <c r="H99" s="38">
        <f t="shared" si="22"/>
        <v>0</v>
      </c>
      <c r="I99" s="38">
        <f t="shared" si="22"/>
        <v>0</v>
      </c>
      <c r="J99" s="38">
        <f t="shared" si="22"/>
        <v>0</v>
      </c>
      <c r="K99" s="38">
        <f t="shared" si="22"/>
        <v>0</v>
      </c>
      <c r="L99" s="38">
        <f t="shared" si="22"/>
        <v>0</v>
      </c>
    </row>
    <row r="100" ht="15.75" customHeight="1">
      <c r="B100" s="4" t="s">
        <v>163</v>
      </c>
      <c r="C100" s="38">
        <f t="shared" ref="C100:L100" si="23">C93+C95-C99</f>
        <v>0</v>
      </c>
      <c r="D100" s="38">
        <f t="shared" si="23"/>
        <v>0</v>
      </c>
      <c r="E100" s="38">
        <f t="shared" si="23"/>
        <v>0</v>
      </c>
      <c r="F100" s="38">
        <f t="shared" si="23"/>
        <v>0</v>
      </c>
      <c r="G100" s="38">
        <f t="shared" si="23"/>
        <v>0</v>
      </c>
      <c r="H100" s="38">
        <f t="shared" si="23"/>
        <v>0</v>
      </c>
      <c r="I100" s="38">
        <f t="shared" si="23"/>
        <v>0</v>
      </c>
      <c r="J100" s="38">
        <f t="shared" si="23"/>
        <v>0</v>
      </c>
      <c r="K100" s="38">
        <f t="shared" si="23"/>
        <v>0</v>
      </c>
      <c r="L100" s="38">
        <f t="shared" si="23"/>
        <v>0</v>
      </c>
    </row>
    <row r="101" ht="15.75" customHeight="1">
      <c r="B101" s="4" t="s">
        <v>123</v>
      </c>
      <c r="C101" s="43"/>
      <c r="D101" s="43">
        <f>1/(1+Inputs!I43)^1</f>
        <v>0.9214997408</v>
      </c>
      <c r="E101" s="43">
        <f>1/(1+Inputs!I43)^2</f>
        <v>0.8491617723</v>
      </c>
      <c r="F101" s="43">
        <f>1/(1+Inputs!I43)^3</f>
        <v>0.7825023531</v>
      </c>
      <c r="G101" s="43">
        <f>1/(1+Inputs!I43)^4</f>
        <v>0.7210757156</v>
      </c>
      <c r="H101" s="43">
        <f>1/(1+Inputs!I43)^5</f>
        <v>0.6644710851</v>
      </c>
      <c r="I101" s="43">
        <f>1/(1+Inputs!I43)^6</f>
        <v>0.6123099327</v>
      </c>
      <c r="J101" s="43">
        <f>1/(1+Inputs!I43)^7</f>
        <v>0.5642434443</v>
      </c>
      <c r="K101" s="43">
        <f>1/(1+Inputs!I43)^8</f>
        <v>0.5199501876</v>
      </c>
      <c r="L101" s="43">
        <f>1/(1+Inputs!I43)^9</f>
        <v>0.4791339632</v>
      </c>
    </row>
    <row r="102" ht="15.75" customHeight="1">
      <c r="B102" s="4" t="s">
        <v>164</v>
      </c>
      <c r="C102" s="38"/>
      <c r="D102" s="38">
        <f t="shared" ref="D102:L102" si="24">D100*D101</f>
        <v>0</v>
      </c>
      <c r="E102" s="38">
        <f t="shared" si="24"/>
        <v>0</v>
      </c>
      <c r="F102" s="38">
        <f t="shared" si="24"/>
        <v>0</v>
      </c>
      <c r="G102" s="38">
        <f t="shared" si="24"/>
        <v>0</v>
      </c>
      <c r="H102" s="38">
        <f t="shared" si="24"/>
        <v>0</v>
      </c>
      <c r="I102" s="38">
        <f t="shared" si="24"/>
        <v>0</v>
      </c>
      <c r="J102" s="38">
        <f t="shared" si="24"/>
        <v>0</v>
      </c>
      <c r="K102" s="38">
        <f t="shared" si="24"/>
        <v>0</v>
      </c>
      <c r="L102" s="38">
        <f t="shared" si="24"/>
        <v>0</v>
      </c>
    </row>
    <row r="103" ht="15.75" customHeight="1"/>
    <row r="104" ht="19.5" customHeight="1">
      <c r="B104" s="17" t="s">
        <v>165</v>
      </c>
    </row>
    <row r="105" ht="15.75" customHeight="1"/>
    <row r="106" ht="15.75" customHeight="1">
      <c r="B106" s="44" t="s">
        <v>166</v>
      </c>
      <c r="C106" s="45">
        <f>L100</f>
        <v>0</v>
      </c>
    </row>
    <row r="107" ht="15.75" customHeight="1">
      <c r="B107" s="44" t="s">
        <v>167</v>
      </c>
      <c r="C107" s="46">
        <f>C106*(1+Inputs!I44)/(Inputs!I43-Inputs!I44)</f>
        <v>0</v>
      </c>
    </row>
    <row r="108" ht="15.75" customHeight="1">
      <c r="B108" s="44" t="s">
        <v>168</v>
      </c>
      <c r="C108" s="46">
        <f>C107*L101</f>
        <v>0</v>
      </c>
    </row>
    <row r="109" ht="15.75" customHeight="1">
      <c r="B109" s="33" t="s">
        <v>169</v>
      </c>
      <c r="C109" s="47">
        <f>SUM(D102:L102)+C108</f>
        <v>0</v>
      </c>
    </row>
    <row r="110" ht="15.75" customHeight="1"/>
    <row r="111" ht="15.75" customHeight="1">
      <c r="B111" s="33" t="s">
        <v>170</v>
      </c>
      <c r="C111" s="47">
        <f>C109-Inputs!C50-Inputs!C51+Inputs!C49+Inputs!C52</f>
        <v>0</v>
      </c>
    </row>
    <row r="112" ht="15.75" customHeight="1">
      <c r="B112" s="44" t="s">
        <v>72</v>
      </c>
      <c r="C112" s="48">
        <f>Inputs!C55</f>
        <v>0</v>
      </c>
    </row>
    <row r="113" ht="15.75" customHeight="1">
      <c r="B113" s="33" t="s">
        <v>171</v>
      </c>
      <c r="C113" s="49" t="str">
        <f>C111/C112</f>
        <v>#DIV/0!</v>
      </c>
    </row>
    <row r="114" ht="15.75" customHeight="1"/>
    <row r="115" ht="15.75" customHeight="1"/>
    <row r="116" ht="15.75" customHeight="1">
      <c r="B116" s="17" t="s">
        <v>176</v>
      </c>
    </row>
    <row r="117" ht="15.75" customHeight="1">
      <c r="B117" s="33" t="s">
        <v>177</v>
      </c>
      <c r="C117" s="49" t="str">
        <f>C76</f>
        <v>#DIV/0!</v>
      </c>
    </row>
    <row r="118" ht="15.75" customHeight="1">
      <c r="B118" s="33" t="s">
        <v>178</v>
      </c>
      <c r="C118" s="49" t="str">
        <f>C39</f>
        <v>#DIV/0!</v>
      </c>
    </row>
    <row r="119" ht="15.75" customHeight="1">
      <c r="B119" s="33" t="s">
        <v>179</v>
      </c>
      <c r="C119" s="49" t="str">
        <f>C113</f>
        <v>#DIV/0!</v>
      </c>
    </row>
    <row r="120" ht="15.75" customHeight="1">
      <c r="B120" s="33" t="s">
        <v>78</v>
      </c>
      <c r="C120" s="50">
        <f>SUM(Inputs!G63:I63)</f>
        <v>1</v>
      </c>
    </row>
    <row r="121" ht="15.75" customHeight="1">
      <c r="B121" s="33" t="s">
        <v>180</v>
      </c>
      <c r="C121" s="49" t="str">
        <f>C117*Inputs!G63 + C118*Inputs!H63 + C119*Inputs!I63</f>
        <v>#DIV/0!</v>
      </c>
    </row>
    <row r="122" ht="15.75" customHeight="1">
      <c r="B122" s="33" t="s">
        <v>181</v>
      </c>
      <c r="C122" s="47">
        <f>C74*Inputs!G63 + C37*Inputs!H63 + C111*Inputs!I63</f>
        <v>0</v>
      </c>
    </row>
    <row r="123" ht="15.75" customHeight="1">
      <c r="B123" s="33" t="s">
        <v>182</v>
      </c>
      <c r="C123" s="47">
        <f>C72*Inputs!G63 + C35*Inputs!H63 + C109*Inputs!I63</f>
        <v>0</v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L2"/>
    <mergeCell ref="B30:L30"/>
  </mergeCell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3.0"/>
    <col customWidth="1" min="2" max="2" width="30.0"/>
    <col customWidth="1" min="3" max="7" width="14.0"/>
    <col customWidth="1" min="8" max="26" width="8.71"/>
  </cols>
  <sheetData>
    <row r="2" ht="19.5" customHeight="1">
      <c r="B2" s="7" t="s">
        <v>183</v>
      </c>
      <c r="C2" s="8"/>
      <c r="D2" s="8"/>
      <c r="E2" s="8"/>
      <c r="F2" s="8"/>
      <c r="G2" s="9"/>
    </row>
    <row r="4">
      <c r="B4" s="28" t="s">
        <v>184</v>
      </c>
      <c r="C4" s="51" t="str">
        <f>DCF!C39</f>
        <v>#DIV/0!</v>
      </c>
    </row>
    <row r="6">
      <c r="B6" s="52" t="s">
        <v>185</v>
      </c>
      <c r="C6" s="53">
        <v>0.015</v>
      </c>
      <c r="D6" s="53">
        <v>0.02</v>
      </c>
      <c r="E6" s="53">
        <v>0.025</v>
      </c>
      <c r="F6" s="53">
        <v>0.03</v>
      </c>
      <c r="G6" s="53">
        <v>0.035</v>
      </c>
    </row>
    <row r="7">
      <c r="B7" s="53">
        <v>0.07</v>
      </c>
      <c r="C7" s="28" t="s">
        <v>186</v>
      </c>
      <c r="D7" s="28" t="s">
        <v>186</v>
      </c>
      <c r="E7" s="28" t="s">
        <v>186</v>
      </c>
      <c r="F7" s="28" t="s">
        <v>186</v>
      </c>
      <c r="G7" s="28" t="s">
        <v>186</v>
      </c>
    </row>
    <row r="8">
      <c r="B8" s="53">
        <v>0.08</v>
      </c>
      <c r="C8" s="28" t="s">
        <v>186</v>
      </c>
      <c r="D8" s="28" t="s">
        <v>186</v>
      </c>
      <c r="E8" s="28" t="s">
        <v>186</v>
      </c>
      <c r="F8" s="28" t="s">
        <v>186</v>
      </c>
      <c r="G8" s="28" t="s">
        <v>186</v>
      </c>
    </row>
    <row r="9">
      <c r="B9" s="53">
        <v>0.09</v>
      </c>
      <c r="C9" s="28" t="s">
        <v>186</v>
      </c>
      <c r="D9" s="28" t="s">
        <v>186</v>
      </c>
      <c r="E9" s="28" t="s">
        <v>186</v>
      </c>
      <c r="F9" s="28" t="s">
        <v>186</v>
      </c>
      <c r="G9" s="28" t="s">
        <v>186</v>
      </c>
    </row>
    <row r="10">
      <c r="B10" s="53">
        <v>0.1</v>
      </c>
      <c r="C10" s="28" t="s">
        <v>186</v>
      </c>
      <c r="D10" s="28" t="s">
        <v>186</v>
      </c>
      <c r="E10" s="28" t="s">
        <v>186</v>
      </c>
      <c r="F10" s="28" t="s">
        <v>186</v>
      </c>
      <c r="G10" s="28" t="s">
        <v>186</v>
      </c>
    </row>
    <row r="11">
      <c r="B11" s="53">
        <v>0.11</v>
      </c>
      <c r="C11" s="28" t="s">
        <v>186</v>
      </c>
      <c r="D11" s="28" t="s">
        <v>186</v>
      </c>
      <c r="E11" s="28" t="s">
        <v>186</v>
      </c>
      <c r="F11" s="28" t="s">
        <v>186</v>
      </c>
      <c r="G11" s="28" t="s">
        <v>186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G2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4.43" defaultRowHeight="15.0"/>
  <cols>
    <col customWidth="1" min="1" max="1" width="3.0"/>
    <col customWidth="1" min="2" max="2" width="14.0"/>
    <col customWidth="1" min="3" max="3" width="36.0"/>
    <col customWidth="1" min="4" max="6" width="14.0"/>
    <col customWidth="1" min="7" max="7" width="44.0"/>
    <col customWidth="1" min="8" max="52" width="8.71"/>
  </cols>
  <sheetData>
    <row r="2" ht="19.5" customHeight="1">
      <c r="B2" s="7" t="s">
        <v>187</v>
      </c>
      <c r="C2" s="8"/>
      <c r="D2" s="8"/>
      <c r="E2" s="8"/>
      <c r="F2" s="8"/>
      <c r="G2" s="9"/>
    </row>
    <row r="4">
      <c r="B4" s="28" t="s">
        <v>188</v>
      </c>
      <c r="C4" s="54" t="str">
        <f>Inputs!C9</f>
        <v/>
      </c>
    </row>
    <row r="5">
      <c r="B5" s="28" t="s">
        <v>189</v>
      </c>
      <c r="C5" s="54" t="str">
        <f>Inputs!C10</f>
        <v/>
      </c>
    </row>
    <row r="7" ht="18.0" customHeight="1">
      <c r="B7" s="18" t="s">
        <v>16</v>
      </c>
      <c r="C7" s="18" t="s">
        <v>190</v>
      </c>
      <c r="D7" s="18" t="s">
        <v>191</v>
      </c>
      <c r="E7" s="18" t="s">
        <v>192</v>
      </c>
      <c r="F7" s="18" t="s">
        <v>193</v>
      </c>
      <c r="G7" s="18" t="s">
        <v>89</v>
      </c>
    </row>
    <row r="8">
      <c r="B8" s="11"/>
      <c r="C8" s="11"/>
      <c r="D8" s="10"/>
      <c r="E8" s="10"/>
      <c r="F8" s="10"/>
      <c r="G8" s="11"/>
    </row>
    <row r="9">
      <c r="B9" s="11"/>
      <c r="C9" s="11"/>
      <c r="D9" s="10"/>
      <c r="E9" s="10"/>
      <c r="F9" s="10"/>
      <c r="G9" s="11"/>
    </row>
    <row r="10">
      <c r="B10" s="11"/>
      <c r="C10" s="11"/>
      <c r="D10" s="10"/>
      <c r="E10" s="10"/>
      <c r="F10" s="10"/>
      <c r="G10" s="11"/>
    </row>
    <row r="11">
      <c r="B11" s="11"/>
      <c r="C11" s="11"/>
      <c r="D11" s="10"/>
      <c r="E11" s="10"/>
      <c r="F11" s="10"/>
      <c r="G11" s="11"/>
    </row>
    <row r="12">
      <c r="B12" s="11"/>
      <c r="C12" s="11"/>
      <c r="D12" s="10"/>
      <c r="E12" s="10"/>
      <c r="F12" s="10"/>
      <c r="G12" s="11"/>
    </row>
    <row r="13">
      <c r="B13" s="11"/>
      <c r="C13" s="11"/>
      <c r="D13" s="10"/>
      <c r="E13" s="10"/>
      <c r="F13" s="10"/>
      <c r="G13" s="11"/>
    </row>
    <row r="14">
      <c r="B14" s="11"/>
      <c r="C14" s="11"/>
      <c r="D14" s="10"/>
      <c r="E14" s="10"/>
      <c r="F14" s="10"/>
      <c r="G14" s="11"/>
    </row>
    <row r="15">
      <c r="B15" s="11"/>
      <c r="C15" s="11"/>
      <c r="D15" s="10"/>
      <c r="E15" s="10"/>
      <c r="F15" s="10"/>
      <c r="G15" s="11"/>
    </row>
    <row r="16">
      <c r="B16" s="11"/>
      <c r="C16" s="11"/>
      <c r="D16" s="10"/>
      <c r="E16" s="10"/>
      <c r="F16" s="10"/>
      <c r="G16" s="11"/>
    </row>
    <row r="17">
      <c r="B17" s="11"/>
      <c r="C17" s="11"/>
      <c r="D17" s="10"/>
      <c r="E17" s="10"/>
      <c r="F17" s="10"/>
      <c r="G17" s="1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G2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3.0"/>
    <col customWidth="1" min="2" max="2" width="46.0"/>
    <col customWidth="1" min="3" max="3" width="14.0"/>
    <col customWidth="1" min="4" max="4" width="70.0"/>
    <col customWidth="1" min="5" max="26" width="8.71"/>
  </cols>
  <sheetData>
    <row r="2" ht="19.5" customHeight="1">
      <c r="B2" s="7" t="s">
        <v>194</v>
      </c>
      <c r="C2" s="8"/>
      <c r="D2" s="9"/>
    </row>
    <row r="4" ht="18.0" customHeight="1">
      <c r="B4" s="18" t="s">
        <v>195</v>
      </c>
      <c r="C4" s="18" t="s">
        <v>196</v>
      </c>
      <c r="D4" s="18" t="s">
        <v>89</v>
      </c>
    </row>
    <row r="5">
      <c r="B5" s="4" t="s">
        <v>197</v>
      </c>
      <c r="C5" s="26" t="str">
        <f>IF(Inputs!C44&lt;=Inputs!C37,"PASS","FAIL")</f>
        <v>PASS</v>
      </c>
      <c r="D5" s="4" t="s">
        <v>198</v>
      </c>
    </row>
    <row r="6">
      <c r="B6" s="4" t="s">
        <v>199</v>
      </c>
      <c r="C6" s="26" t="str">
        <f>IF(Inputs!C43&gt;Inputs!C44,"PASS","FAIL")</f>
        <v>PASS</v>
      </c>
      <c r="D6" s="4" t="s">
        <v>200</v>
      </c>
    </row>
    <row r="7">
      <c r="B7" s="4" t="s">
        <v>201</v>
      </c>
      <c r="C7" s="26" t="str">
        <f>IF(Inputs!C55&gt;=Inputs!C53,"PASS","FAIL")</f>
        <v>PASS</v>
      </c>
      <c r="D7" s="4" t="s">
        <v>202</v>
      </c>
    </row>
    <row r="8">
      <c r="B8" s="4" t="s">
        <v>203</v>
      </c>
      <c r="C8" s="26" t="str">
        <f>IF(Inputs!C29&gt;=0,"PASS","FAIL")</f>
        <v>PASS</v>
      </c>
      <c r="D8" s="4" t="s">
        <v>204</v>
      </c>
    </row>
    <row r="9">
      <c r="B9" s="4" t="s">
        <v>205</v>
      </c>
      <c r="C9" s="26" t="str">
        <f>IFERROR(IF(DCF!C39&gt;0,"PASS","REVIEW"),"FAIL")</f>
        <v>FAIL</v>
      </c>
      <c r="D9" s="4" t="s">
        <v>206</v>
      </c>
    </row>
    <row r="10">
      <c r="B10" s="4" t="s">
        <v>207</v>
      </c>
      <c r="C10" s="26" t="str">
        <f>IF(ABS(Inputs!G64-1)&lt;0.0001,"PASS","FAIL")</f>
        <v>PASS</v>
      </c>
      <c r="D10" s="4" t="s">
        <v>208</v>
      </c>
    </row>
    <row r="11">
      <c r="B11" s="4" t="s">
        <v>209</v>
      </c>
      <c r="C11" s="26" t="str">
        <f>IF(Inputs!G43&gt;Inputs!G44,"PASS","FAIL")</f>
        <v>PASS</v>
      </c>
      <c r="D11" s="4" t="s">
        <v>210</v>
      </c>
    </row>
    <row r="12">
      <c r="B12" s="4" t="s">
        <v>211</v>
      </c>
      <c r="C12" s="26" t="str">
        <f>IF(Inputs!C43&gt;Inputs!C44,"PASS","FAIL")</f>
        <v>PASS</v>
      </c>
      <c r="D12" s="4" t="s">
        <v>210</v>
      </c>
    </row>
    <row r="13">
      <c r="B13" s="4" t="s">
        <v>212</v>
      </c>
      <c r="C13" s="26" t="str">
        <f>IF(Inputs!I43&gt;Inputs!I44,"PASS","FAIL")</f>
        <v>PASS</v>
      </c>
      <c r="D13" s="4" t="s">
        <v>210</v>
      </c>
    </row>
    <row r="14">
      <c r="B14" s="4" t="s">
        <v>213</v>
      </c>
      <c r="C14" s="26" t="str">
        <f>IF(Inputs!G44&lt;=Inputs!G37,"PASS","FAIL")</f>
        <v>PASS</v>
      </c>
      <c r="D14" s="4" t="s">
        <v>214</v>
      </c>
    </row>
    <row r="15">
      <c r="B15" s="4" t="s">
        <v>215</v>
      </c>
      <c r="C15" s="26" t="str">
        <f>IF(Inputs!C44&lt;=Inputs!C37,"PASS","FAIL")</f>
        <v>PASS</v>
      </c>
      <c r="D15" s="4" t="s">
        <v>214</v>
      </c>
    </row>
    <row r="16">
      <c r="B16" s="4" t="s">
        <v>216</v>
      </c>
      <c r="C16" s="26" t="str">
        <f>IF(Inputs!I44&lt;=Inputs!I37,"PASS","FAIL")</f>
        <v>PASS</v>
      </c>
      <c r="D16" s="4" t="s">
        <v>214</v>
      </c>
    </row>
    <row r="17">
      <c r="B17" s="4" t="s">
        <v>217</v>
      </c>
      <c r="C17" s="26" t="str">
        <f>IFERROR(IF(Output!C6&gt;0,"PASS","REVIEW"),"FAIL")</f>
        <v>FAIL</v>
      </c>
      <c r="D17" s="4" t="s">
        <v>218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D2"/>
  </mergeCell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3.0"/>
    <col customWidth="1" min="2" max="2" width="22.0"/>
    <col customWidth="1" min="3" max="3" width="28.0"/>
    <col customWidth="1" min="4" max="4" width="48.0"/>
    <col customWidth="1" min="5" max="5" width="18.0"/>
    <col customWidth="1" min="6" max="6" width="60.0"/>
    <col customWidth="1" min="7" max="26" width="8.71"/>
  </cols>
  <sheetData>
    <row r="2" ht="19.5" customHeight="1">
      <c r="B2" s="7" t="s">
        <v>219</v>
      </c>
      <c r="C2" s="8"/>
      <c r="D2" s="8"/>
      <c r="E2" s="8"/>
      <c r="F2" s="9"/>
    </row>
    <row r="4">
      <c r="B4" s="55" t="s">
        <v>220</v>
      </c>
    </row>
    <row r="6" ht="18.0" customHeight="1">
      <c r="B6" s="56" t="s">
        <v>221</v>
      </c>
      <c r="C6" s="56" t="s">
        <v>222</v>
      </c>
      <c r="D6" s="56" t="s">
        <v>223</v>
      </c>
      <c r="E6" s="56" t="s">
        <v>224</v>
      </c>
      <c r="F6" s="56" t="s">
        <v>225</v>
      </c>
      <c r="G6" s="56" t="s">
        <v>89</v>
      </c>
      <c r="H6" s="57" t="s">
        <v>226</v>
      </c>
      <c r="I6" s="57" t="s">
        <v>227</v>
      </c>
      <c r="J6" s="57" t="s">
        <v>228</v>
      </c>
      <c r="K6" s="57" t="s">
        <v>229</v>
      </c>
      <c r="L6" s="57" t="s">
        <v>230</v>
      </c>
    </row>
    <row r="7">
      <c r="B7" s="4"/>
      <c r="C7" s="11"/>
      <c r="D7" s="11"/>
      <c r="E7" s="27"/>
      <c r="F7" s="11"/>
      <c r="G7" s="4"/>
    </row>
    <row r="8">
      <c r="B8" s="4"/>
      <c r="C8" s="11"/>
      <c r="D8" s="11"/>
      <c r="E8" s="27"/>
      <c r="F8" s="11"/>
      <c r="G8" s="4"/>
    </row>
    <row r="9">
      <c r="B9" s="4"/>
      <c r="C9" s="11"/>
      <c r="D9" s="11"/>
      <c r="E9" s="27"/>
      <c r="F9" s="11"/>
      <c r="G9" s="4"/>
    </row>
    <row r="10">
      <c r="B10" s="4"/>
      <c r="C10" s="11"/>
      <c r="D10" s="11"/>
      <c r="E10" s="27"/>
      <c r="F10" s="11"/>
      <c r="G10" s="4"/>
    </row>
    <row r="11">
      <c r="B11" s="4"/>
      <c r="C11" s="11"/>
      <c r="D11" s="11"/>
      <c r="E11" s="27"/>
      <c r="F11" s="11"/>
      <c r="G11" s="4"/>
    </row>
    <row r="12">
      <c r="B12" s="4"/>
      <c r="C12" s="11"/>
      <c r="D12" s="11"/>
      <c r="E12" s="27"/>
      <c r="F12" s="11"/>
      <c r="G12" s="4"/>
    </row>
    <row r="13">
      <c r="B13" s="4"/>
      <c r="C13" s="11"/>
      <c r="D13" s="11"/>
      <c r="E13" s="27"/>
      <c r="F13" s="11"/>
      <c r="G13" s="4"/>
    </row>
    <row r="14">
      <c r="B14" s="4"/>
      <c r="C14" s="11"/>
      <c r="D14" s="11"/>
      <c r="E14" s="27"/>
      <c r="F14" s="11"/>
      <c r="G14" s="4"/>
    </row>
    <row r="15">
      <c r="B15" s="4"/>
      <c r="C15" s="11"/>
      <c r="D15" s="11"/>
      <c r="E15" s="27"/>
      <c r="F15" s="11"/>
      <c r="G15" s="4"/>
    </row>
    <row r="16">
      <c r="B16" s="4"/>
      <c r="C16" s="11"/>
      <c r="D16" s="11"/>
      <c r="E16" s="27"/>
      <c r="F16" s="11"/>
      <c r="G16" s="4"/>
    </row>
    <row r="17">
      <c r="B17" s="4"/>
      <c r="C17" s="11"/>
      <c r="D17" s="11"/>
      <c r="E17" s="27"/>
      <c r="F17" s="11"/>
      <c r="G17" s="4"/>
    </row>
    <row r="18">
      <c r="B18" s="4"/>
      <c r="C18" s="11"/>
      <c r="D18" s="11"/>
      <c r="E18" s="27"/>
      <c r="F18" s="11"/>
      <c r="G18" s="4"/>
    </row>
    <row r="19">
      <c r="B19" s="4"/>
      <c r="C19" s="11"/>
      <c r="D19" s="11"/>
      <c r="E19" s="27"/>
      <c r="F19" s="11"/>
      <c r="G19" s="4"/>
    </row>
    <row r="20">
      <c r="B20" s="4"/>
      <c r="C20" s="11"/>
      <c r="D20" s="11"/>
      <c r="E20" s="27"/>
      <c r="F20" s="11"/>
      <c r="G20" s="4"/>
    </row>
    <row r="21" ht="15.75" customHeight="1">
      <c r="B21" s="4"/>
      <c r="C21" s="11"/>
      <c r="D21" s="11"/>
      <c r="E21" s="27"/>
      <c r="F21" s="11"/>
      <c r="G21" s="4"/>
    </row>
    <row r="22" ht="15.75" customHeight="1">
      <c r="B22" s="4"/>
      <c r="C22" s="11"/>
      <c r="D22" s="11"/>
      <c r="E22" s="27"/>
      <c r="F22" s="11"/>
      <c r="G22" s="4"/>
    </row>
    <row r="23" ht="15.75" customHeight="1">
      <c r="B23" s="4"/>
      <c r="C23" s="11"/>
      <c r="D23" s="11"/>
      <c r="E23" s="27"/>
      <c r="F23" s="11"/>
      <c r="G23" s="4"/>
    </row>
    <row r="24" ht="15.75" customHeight="1">
      <c r="B24" s="4"/>
      <c r="C24" s="11"/>
      <c r="D24" s="11"/>
      <c r="E24" s="27"/>
      <c r="F24" s="11"/>
      <c r="G24" s="4"/>
    </row>
    <row r="25" ht="15.75" customHeight="1">
      <c r="B25" s="4"/>
      <c r="C25" s="11"/>
      <c r="D25" s="11"/>
      <c r="E25" s="27"/>
      <c r="F25" s="11"/>
      <c r="G25" s="4"/>
    </row>
    <row r="26" ht="15.75" customHeight="1">
      <c r="B26" s="4"/>
      <c r="C26" s="11"/>
      <c r="D26" s="11"/>
      <c r="E26" s="27"/>
      <c r="F26" s="11"/>
      <c r="G26" s="4"/>
    </row>
    <row r="27" ht="15.75" customHeight="1">
      <c r="B27" s="4"/>
      <c r="C27" s="11"/>
      <c r="D27" s="11"/>
      <c r="E27" s="27"/>
      <c r="F27" s="11"/>
      <c r="G27" s="4"/>
    </row>
    <row r="28" ht="15.75" customHeight="1">
      <c r="B28" s="4"/>
      <c r="C28" s="11"/>
      <c r="D28" s="11"/>
      <c r="E28" s="27"/>
      <c r="F28" s="11"/>
      <c r="G28" s="4"/>
    </row>
    <row r="29" ht="15.75" customHeight="1">
      <c r="B29" s="4"/>
      <c r="C29" s="11"/>
      <c r="D29" s="11"/>
      <c r="E29" s="27"/>
      <c r="F29" s="11"/>
      <c r="G29" s="4"/>
    </row>
    <row r="30" ht="15.75" customHeight="1">
      <c r="B30" s="4"/>
      <c r="C30" s="11"/>
      <c r="D30" s="11"/>
      <c r="E30" s="27"/>
      <c r="F30" s="11"/>
      <c r="G30" s="4"/>
    </row>
    <row r="31" ht="15.75" customHeight="1">
      <c r="B31" s="4"/>
      <c r="C31" s="11"/>
      <c r="D31" s="11"/>
      <c r="E31" s="27"/>
      <c r="F31" s="11"/>
      <c r="G31" s="4"/>
    </row>
    <row r="32" ht="15.75" customHeight="1">
      <c r="B32" s="4"/>
      <c r="C32" s="11"/>
      <c r="D32" s="11"/>
      <c r="E32" s="27"/>
      <c r="F32" s="11"/>
      <c r="G32" s="4"/>
    </row>
    <row r="33" ht="15.75" customHeight="1">
      <c r="B33" s="4"/>
      <c r="C33" s="11"/>
      <c r="D33" s="11"/>
      <c r="E33" s="27"/>
      <c r="F33" s="11"/>
      <c r="G33" s="4"/>
    </row>
    <row r="34" ht="15.75" customHeight="1">
      <c r="B34" s="4"/>
      <c r="C34" s="11"/>
      <c r="D34" s="11"/>
      <c r="E34" s="27"/>
      <c r="F34" s="11"/>
      <c r="G34" s="4"/>
    </row>
    <row r="35" ht="15.75" customHeight="1">
      <c r="B35" s="4"/>
      <c r="C35" s="11"/>
      <c r="D35" s="11"/>
      <c r="E35" s="27"/>
      <c r="F35" s="11"/>
      <c r="G35" s="4"/>
    </row>
    <row r="36" ht="15.75" customHeight="1">
      <c r="B36" s="4"/>
      <c r="C36" s="11"/>
      <c r="D36" s="11"/>
      <c r="E36" s="27"/>
      <c r="F36" s="11"/>
      <c r="G36" s="4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F2"/>
  </mergeCell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3" width="96.0"/>
    <col customWidth="1" min="4" max="26" width="8.71"/>
  </cols>
  <sheetData>
    <row r="2">
      <c r="B2" s="1" t="s">
        <v>231</v>
      </c>
    </row>
    <row r="4">
      <c r="B4" s="58" t="s">
        <v>232</v>
      </c>
    </row>
    <row r="5" ht="60.0" customHeight="1">
      <c r="B5" s="59"/>
    </row>
    <row r="7">
      <c r="B7" s="58" t="s">
        <v>233</v>
      </c>
    </row>
    <row r="8" ht="60.0" customHeight="1">
      <c r="B8" s="59"/>
    </row>
    <row r="10">
      <c r="B10" s="58" t="s">
        <v>234</v>
      </c>
    </row>
    <row r="11" ht="60.0" customHeight="1">
      <c r="B11" s="59"/>
    </row>
    <row r="13">
      <c r="B13" s="58" t="s">
        <v>235</v>
      </c>
    </row>
    <row r="14" ht="60.0" customHeight="1">
      <c r="B14" s="59"/>
    </row>
    <row r="16">
      <c r="B16" s="58" t="s">
        <v>236</v>
      </c>
    </row>
    <row r="17" ht="60.0" customHeight="1">
      <c r="B17" s="59"/>
    </row>
    <row r="19">
      <c r="B19" s="58" t="s">
        <v>237</v>
      </c>
    </row>
    <row r="20" ht="60.0" customHeight="1">
      <c r="B20" s="59"/>
    </row>
    <row r="21" ht="15.75" customHeight="1"/>
    <row r="22" ht="15.75" customHeight="1">
      <c r="B22" s="17" t="s">
        <v>238</v>
      </c>
    </row>
    <row r="23" ht="15.75" customHeight="1">
      <c r="B23" s="18" t="s">
        <v>239</v>
      </c>
      <c r="C23" s="18" t="s">
        <v>240</v>
      </c>
      <c r="D23" s="18" t="s">
        <v>241</v>
      </c>
      <c r="E23" s="18" t="s">
        <v>242</v>
      </c>
      <c r="F23" s="18" t="s">
        <v>243</v>
      </c>
      <c r="G23" s="18" t="s">
        <v>244</v>
      </c>
    </row>
    <row r="24" ht="15.75" customHeight="1">
      <c r="B24" s="60" t="s">
        <v>35</v>
      </c>
      <c r="C24" s="59" t="s">
        <v>245</v>
      </c>
      <c r="D24" s="59" t="s">
        <v>245</v>
      </c>
      <c r="E24" s="59" t="s">
        <v>245</v>
      </c>
      <c r="F24" s="59" t="s">
        <v>245</v>
      </c>
      <c r="G24" s="59" t="s">
        <v>245</v>
      </c>
    </row>
    <row r="25" ht="15.75" customHeight="1">
      <c r="B25" s="60" t="s">
        <v>36</v>
      </c>
      <c r="C25" s="59" t="s">
        <v>245</v>
      </c>
      <c r="D25" s="59" t="s">
        <v>245</v>
      </c>
      <c r="E25" s="59" t="s">
        <v>245</v>
      </c>
      <c r="F25" s="59" t="s">
        <v>245</v>
      </c>
      <c r="G25" s="59" t="s">
        <v>245</v>
      </c>
    </row>
    <row r="26" ht="15.75" customHeight="1">
      <c r="B26" s="60" t="s">
        <v>37</v>
      </c>
      <c r="C26" s="59" t="s">
        <v>245</v>
      </c>
      <c r="D26" s="59" t="s">
        <v>245</v>
      </c>
      <c r="E26" s="59" t="s">
        <v>245</v>
      </c>
      <c r="F26" s="59" t="s">
        <v>245</v>
      </c>
      <c r="G26" s="59" t="s">
        <v>245</v>
      </c>
    </row>
    <row r="27" ht="15.75" customHeight="1"/>
    <row r="28" ht="15.75" customHeight="1">
      <c r="B28" s="4" t="s">
        <v>246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3.0"/>
    <col customWidth="1" min="2" max="2" width="36.0"/>
    <col customWidth="1" min="3" max="3" width="24.0"/>
    <col customWidth="1" min="4" max="4" width="60.0"/>
    <col customWidth="1" min="5" max="26" width="8.71"/>
  </cols>
  <sheetData>
    <row r="2" ht="19.5" customHeight="1">
      <c r="B2" s="7" t="s">
        <v>247</v>
      </c>
      <c r="C2" s="8"/>
      <c r="D2" s="9"/>
    </row>
    <row r="5">
      <c r="B5" s="4" t="s">
        <v>248</v>
      </c>
      <c r="C5" s="61" t="str">
        <f>log_run_id</f>
        <v/>
      </c>
    </row>
    <row r="6">
      <c r="B6" s="12" t="s">
        <v>171</v>
      </c>
      <c r="C6" s="49" t="str">
        <f>C15*C24 + C16*C25 + C17*C26</f>
        <v>#DIV/0!</v>
      </c>
      <c r="D6" s="4" t="s">
        <v>249</v>
      </c>
    </row>
    <row r="7">
      <c r="B7" s="12" t="s">
        <v>170</v>
      </c>
      <c r="C7" s="47">
        <f>C18*C24 + C19*C25 + C20*C26</f>
        <v>0</v>
      </c>
      <c r="D7" s="4" t="s">
        <v>250</v>
      </c>
    </row>
    <row r="8">
      <c r="B8" s="12" t="s">
        <v>169</v>
      </c>
      <c r="C8" s="47">
        <f>C21*C24 + C22*C25 + C23*C26</f>
        <v>0</v>
      </c>
      <c r="D8" s="4" t="s">
        <v>250</v>
      </c>
    </row>
    <row r="9">
      <c r="B9" s="12" t="s">
        <v>61</v>
      </c>
      <c r="C9" s="50">
        <f>Inputs!C43</f>
        <v>0.09226</v>
      </c>
      <c r="D9" s="4"/>
    </row>
    <row r="10">
      <c r="B10" s="12" t="s">
        <v>62</v>
      </c>
      <c r="C10" s="50">
        <f>Inputs!C44</f>
        <v>0.025</v>
      </c>
      <c r="D10" s="4"/>
    </row>
    <row r="11">
      <c r="B11" s="12" t="s">
        <v>251</v>
      </c>
      <c r="C11" s="47" t="str">
        <f>Inputs!C50</f>
        <v/>
      </c>
      <c r="D11" s="4" t="s">
        <v>250</v>
      </c>
    </row>
    <row r="12">
      <c r="B12" s="12" t="s">
        <v>67</v>
      </c>
      <c r="C12" s="47">
        <f>'Lease Capitalization'!C19</f>
        <v>0</v>
      </c>
      <c r="D12" s="4" t="s">
        <v>250</v>
      </c>
    </row>
    <row r="13">
      <c r="B13" s="12" t="s">
        <v>252</v>
      </c>
      <c r="C13" s="47" t="str">
        <f>Inputs!C49</f>
        <v/>
      </c>
      <c r="D13" s="4" t="s">
        <v>250</v>
      </c>
    </row>
    <row r="14">
      <c r="B14" s="12" t="s">
        <v>253</v>
      </c>
      <c r="C14" s="49">
        <f>Inputs!C55</f>
        <v>0</v>
      </c>
      <c r="D14" s="4" t="s">
        <v>254</v>
      </c>
    </row>
    <row r="15">
      <c r="B15" s="12" t="s">
        <v>177</v>
      </c>
      <c r="C15" s="49" t="str">
        <f>DCF!C76</f>
        <v>#DIV/0!</v>
      </c>
      <c r="D15" s="4" t="s">
        <v>249</v>
      </c>
    </row>
    <row r="16">
      <c r="B16" s="12" t="s">
        <v>178</v>
      </c>
      <c r="C16" s="49" t="str">
        <f>DCF!C39</f>
        <v>#DIV/0!</v>
      </c>
      <c r="D16" s="4" t="s">
        <v>249</v>
      </c>
    </row>
    <row r="17">
      <c r="B17" s="12" t="s">
        <v>179</v>
      </c>
      <c r="C17" s="49" t="str">
        <f>DCF!C113</f>
        <v>#DIV/0!</v>
      </c>
      <c r="D17" s="4" t="s">
        <v>249</v>
      </c>
    </row>
    <row r="18">
      <c r="B18" s="12" t="s">
        <v>255</v>
      </c>
      <c r="C18" s="47">
        <f>DCF!C74</f>
        <v>0</v>
      </c>
      <c r="D18" s="4" t="s">
        <v>250</v>
      </c>
    </row>
    <row r="19">
      <c r="B19" s="12" t="s">
        <v>256</v>
      </c>
      <c r="C19" s="47">
        <f>DCF!C37</f>
        <v>0</v>
      </c>
      <c r="D19" s="4" t="s">
        <v>250</v>
      </c>
    </row>
    <row r="20">
      <c r="B20" s="12" t="s">
        <v>257</v>
      </c>
      <c r="C20" s="47">
        <f>DCF!C111</f>
        <v>0</v>
      </c>
      <c r="D20" s="4" t="s">
        <v>250</v>
      </c>
    </row>
    <row r="21" ht="15.75" customHeight="1">
      <c r="B21" s="12" t="s">
        <v>258</v>
      </c>
      <c r="C21" s="47">
        <f>DCF!C72</f>
        <v>0</v>
      </c>
      <c r="D21" s="4" t="s">
        <v>250</v>
      </c>
    </row>
    <row r="22" ht="15.75" customHeight="1">
      <c r="B22" s="12" t="s">
        <v>259</v>
      </c>
      <c r="C22" s="47">
        <f>DCF!C35</f>
        <v>0</v>
      </c>
      <c r="D22" s="4" t="s">
        <v>250</v>
      </c>
    </row>
    <row r="23" ht="15.75" customHeight="1">
      <c r="B23" s="12" t="s">
        <v>260</v>
      </c>
      <c r="C23" s="47">
        <f>DCF!C109</f>
        <v>0</v>
      </c>
      <c r="D23" s="4" t="s">
        <v>250</v>
      </c>
    </row>
    <row r="24" ht="15.75" customHeight="1">
      <c r="B24" s="12" t="s">
        <v>261</v>
      </c>
      <c r="C24" s="50">
        <f>Inputs!G63</f>
        <v>0.25</v>
      </c>
      <c r="D24" s="4" t="s">
        <v>245</v>
      </c>
    </row>
    <row r="25" ht="15.75" customHeight="1">
      <c r="B25" s="12" t="s">
        <v>262</v>
      </c>
      <c r="C25" s="50">
        <f>Inputs!H63</f>
        <v>0.5</v>
      </c>
      <c r="D25" s="4" t="s">
        <v>245</v>
      </c>
    </row>
    <row r="26" ht="15.75" customHeight="1">
      <c r="B26" s="12" t="s">
        <v>263</v>
      </c>
      <c r="C26" s="50">
        <f>Inputs!I63</f>
        <v>0.25</v>
      </c>
      <c r="D26" s="4" t="s">
        <v>245</v>
      </c>
    </row>
    <row r="27" ht="15.75" customHeight="1">
      <c r="B27" s="12" t="s">
        <v>78</v>
      </c>
      <c r="C27" s="50">
        <f>SUM(C24:C26)</f>
        <v>1</v>
      </c>
      <c r="D27" s="4" t="s">
        <v>245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D2"/>
  </mergeCells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6.0" topLeftCell="C17" activePane="bottomRight" state="frozen"/>
      <selection activeCell="C1" sqref="C1" pane="topRight"/>
      <selection activeCell="A17" sqref="A17" pane="bottomLeft"/>
      <selection activeCell="C17" sqref="C17" pane="bottomRight"/>
    </sheetView>
  </sheetViews>
  <sheetFormatPr customHeight="1" defaultColWidth="14.43" defaultRowHeight="15.0"/>
  <cols>
    <col customWidth="1" min="1" max="1" width="2.0"/>
    <col customWidth="1" min="2" max="2" width="18.0"/>
    <col customWidth="1" min="3" max="3" width="22.0"/>
    <col customWidth="1" min="4" max="4" width="18.0"/>
    <col customWidth="1" min="5" max="5" width="22.0"/>
    <col customWidth="1" min="6" max="6" width="20.0"/>
    <col customWidth="1" min="7" max="8" width="30.0"/>
    <col customWidth="1" min="9" max="9" width="24.0"/>
    <col customWidth="1" min="10" max="10" width="28.0"/>
    <col customWidth="1" min="11" max="26" width="8.71"/>
  </cols>
  <sheetData>
    <row r="2">
      <c r="B2" s="7" t="s">
        <v>264</v>
      </c>
      <c r="C2" s="8"/>
      <c r="D2" s="8"/>
      <c r="E2" s="8"/>
      <c r="F2" s="8"/>
      <c r="G2" s="8"/>
      <c r="H2" s="8"/>
      <c r="I2" s="8"/>
      <c r="J2" s="9"/>
    </row>
    <row r="3">
      <c r="B3" s="62" t="s">
        <v>265</v>
      </c>
      <c r="C3" s="63"/>
      <c r="D3" s="63"/>
      <c r="E3" s="63"/>
      <c r="F3" s="63"/>
      <c r="G3" s="63"/>
      <c r="H3" s="63"/>
      <c r="I3" s="63"/>
      <c r="J3" s="64"/>
    </row>
    <row r="5">
      <c r="B5" s="7" t="s">
        <v>266</v>
      </c>
      <c r="C5" s="8"/>
      <c r="D5" s="8"/>
      <c r="E5" s="8"/>
      <c r="F5" s="8"/>
      <c r="G5" s="8"/>
      <c r="H5" s="8"/>
      <c r="I5" s="8"/>
      <c r="J5" s="9"/>
    </row>
    <row r="6">
      <c r="B6" s="4" t="s">
        <v>248</v>
      </c>
      <c r="C6" s="13"/>
      <c r="D6" s="4" t="s">
        <v>196</v>
      </c>
      <c r="E6" s="61"/>
    </row>
    <row r="7">
      <c r="B7" s="4" t="s">
        <v>267</v>
      </c>
      <c r="C7" s="13"/>
      <c r="D7" s="4" t="s">
        <v>268</v>
      </c>
      <c r="E7" s="61"/>
    </row>
    <row r="8">
      <c r="B8" s="4" t="s">
        <v>16</v>
      </c>
      <c r="C8" s="13" t="str">
        <f>Inputs!C4</f>
        <v/>
      </c>
      <c r="D8" s="4" t="s">
        <v>190</v>
      </c>
      <c r="E8" s="61" t="str">
        <f>Inputs!E4</f>
        <v/>
      </c>
    </row>
    <row r="9">
      <c r="B9" s="4" t="s">
        <v>269</v>
      </c>
      <c r="C9" s="13" t="s">
        <v>270</v>
      </c>
      <c r="D9" s="4" t="s">
        <v>271</v>
      </c>
      <c r="E9" s="61"/>
    </row>
    <row r="10">
      <c r="B10" s="4" t="s">
        <v>272</v>
      </c>
      <c r="C10" s="13"/>
      <c r="D10" s="4" t="s">
        <v>273</v>
      </c>
      <c r="E10" s="61" t="s">
        <v>274</v>
      </c>
    </row>
    <row r="11">
      <c r="B11" s="4" t="s">
        <v>275</v>
      </c>
      <c r="C11" s="13"/>
      <c r="D11" s="4" t="s">
        <v>18</v>
      </c>
      <c r="E11" s="61" t="str">
        <f>Inputs!C5</f>
        <v>USD ($mm)</v>
      </c>
    </row>
    <row r="12">
      <c r="B12" s="4" t="s">
        <v>276</v>
      </c>
      <c r="C12" s="13"/>
      <c r="D12" s="4" t="s">
        <v>277</v>
      </c>
      <c r="E12" s="61"/>
    </row>
    <row r="13">
      <c r="B13" s="4" t="s">
        <v>89</v>
      </c>
      <c r="C13" s="65"/>
      <c r="D13" s="63"/>
      <c r="E13" s="63"/>
      <c r="F13" s="63"/>
      <c r="G13" s="63"/>
      <c r="H13" s="63"/>
      <c r="I13" s="63"/>
      <c r="J13" s="64"/>
    </row>
    <row r="15">
      <c r="B15" s="7" t="s">
        <v>278</v>
      </c>
      <c r="C15" s="8"/>
      <c r="D15" s="8"/>
      <c r="E15" s="8"/>
      <c r="F15" s="8"/>
      <c r="G15" s="8"/>
      <c r="H15" s="8"/>
      <c r="I15" s="8"/>
      <c r="J15" s="9"/>
    </row>
    <row r="16">
      <c r="B16" s="66" t="s">
        <v>279</v>
      </c>
      <c r="C16" s="66" t="s">
        <v>280</v>
      </c>
      <c r="D16" s="66" t="s">
        <v>281</v>
      </c>
      <c r="E16" s="66" t="s">
        <v>282</v>
      </c>
      <c r="F16" s="66" t="s">
        <v>283</v>
      </c>
      <c r="G16" s="66" t="s">
        <v>284</v>
      </c>
      <c r="H16" s="66" t="s">
        <v>285</v>
      </c>
      <c r="I16" s="66" t="s">
        <v>286</v>
      </c>
      <c r="J16" s="66" t="s">
        <v>89</v>
      </c>
    </row>
    <row r="17">
      <c r="B17" s="67">
        <v>1.0</v>
      </c>
      <c r="C17" s="68"/>
      <c r="D17" s="68"/>
      <c r="E17" s="68"/>
      <c r="F17" s="68"/>
      <c r="G17" s="68"/>
      <c r="H17" s="68"/>
      <c r="I17" s="68"/>
      <c r="J17" s="68"/>
    </row>
    <row r="18">
      <c r="B18" s="67">
        <v>2.0</v>
      </c>
      <c r="C18" s="68"/>
      <c r="D18" s="68"/>
      <c r="E18" s="68"/>
      <c r="F18" s="68"/>
      <c r="G18" s="68"/>
      <c r="H18" s="68"/>
      <c r="I18" s="68"/>
      <c r="J18" s="68"/>
    </row>
    <row r="19">
      <c r="B19" s="67">
        <v>3.0</v>
      </c>
      <c r="C19" s="68"/>
      <c r="D19" s="68"/>
      <c r="E19" s="68"/>
      <c r="F19" s="68"/>
      <c r="G19" s="68"/>
      <c r="H19" s="68"/>
      <c r="I19" s="68"/>
      <c r="J19" s="68"/>
    </row>
    <row r="20">
      <c r="B20" s="67">
        <v>4.0</v>
      </c>
      <c r="C20" s="68"/>
      <c r="D20" s="68"/>
      <c r="E20" s="68"/>
      <c r="F20" s="68"/>
      <c r="G20" s="68"/>
      <c r="H20" s="68"/>
      <c r="I20" s="68"/>
      <c r="J20" s="68"/>
    </row>
    <row r="21" ht="15.75" customHeight="1">
      <c r="B21" s="67">
        <v>5.0</v>
      </c>
      <c r="C21" s="68"/>
      <c r="D21" s="68"/>
      <c r="E21" s="68"/>
      <c r="F21" s="68"/>
      <c r="G21" s="68"/>
      <c r="H21" s="68"/>
      <c r="I21" s="68"/>
      <c r="J21" s="68"/>
    </row>
    <row r="22" ht="15.75" customHeight="1">
      <c r="B22" s="67">
        <v>6.0</v>
      </c>
      <c r="C22" s="68"/>
      <c r="D22" s="68"/>
      <c r="E22" s="68"/>
      <c r="F22" s="68"/>
      <c r="G22" s="68"/>
      <c r="H22" s="68"/>
      <c r="I22" s="68"/>
      <c r="J22" s="68"/>
    </row>
    <row r="23" ht="15.75" customHeight="1">
      <c r="B23" s="67">
        <v>7.0</v>
      </c>
      <c r="C23" s="68"/>
      <c r="D23" s="68"/>
      <c r="E23" s="68"/>
      <c r="F23" s="68"/>
      <c r="G23" s="68"/>
      <c r="H23" s="68"/>
      <c r="I23" s="68"/>
      <c r="J23" s="68"/>
    </row>
    <row r="24" ht="15.75" customHeight="1">
      <c r="B24" s="67">
        <v>8.0</v>
      </c>
      <c r="C24" s="68"/>
      <c r="D24" s="68"/>
      <c r="E24" s="68"/>
      <c r="F24" s="68"/>
      <c r="G24" s="68"/>
      <c r="H24" s="68"/>
      <c r="I24" s="68"/>
      <c r="J24" s="68"/>
    </row>
    <row r="25" ht="15.75" customHeight="1">
      <c r="B25" s="67">
        <v>9.0</v>
      </c>
      <c r="C25" s="68"/>
      <c r="D25" s="68"/>
      <c r="E25" s="68"/>
      <c r="F25" s="68"/>
      <c r="G25" s="68"/>
      <c r="H25" s="68"/>
      <c r="I25" s="68"/>
      <c r="J25" s="68"/>
    </row>
    <row r="26" ht="15.75" customHeight="1">
      <c r="B26" s="67">
        <v>10.0</v>
      </c>
      <c r="C26" s="68"/>
      <c r="D26" s="68"/>
      <c r="E26" s="68"/>
      <c r="F26" s="68"/>
      <c r="G26" s="68"/>
      <c r="H26" s="68"/>
      <c r="I26" s="68"/>
      <c r="J26" s="68"/>
    </row>
    <row r="27" ht="15.75" customHeight="1">
      <c r="B27" s="67">
        <v>11.0</v>
      </c>
      <c r="C27" s="68"/>
      <c r="D27" s="68"/>
      <c r="E27" s="68"/>
      <c r="F27" s="68"/>
      <c r="G27" s="68"/>
      <c r="H27" s="68"/>
      <c r="I27" s="68"/>
      <c r="J27" s="68"/>
    </row>
    <row r="28" ht="15.75" customHeight="1">
      <c r="B28" s="67">
        <v>12.0</v>
      </c>
      <c r="C28" s="68"/>
      <c r="D28" s="68"/>
      <c r="E28" s="68"/>
      <c r="F28" s="68"/>
      <c r="G28" s="68"/>
      <c r="H28" s="68"/>
      <c r="I28" s="68"/>
      <c r="J28" s="68"/>
    </row>
    <row r="29" ht="15.75" customHeight="1">
      <c r="B29" s="67">
        <v>13.0</v>
      </c>
      <c r="C29" s="68"/>
      <c r="D29" s="68"/>
      <c r="E29" s="68"/>
      <c r="F29" s="68"/>
      <c r="G29" s="68"/>
      <c r="H29" s="68"/>
      <c r="I29" s="68"/>
      <c r="J29" s="68"/>
    </row>
    <row r="30" ht="15.75" customHeight="1">
      <c r="B30" s="67">
        <v>14.0</v>
      </c>
      <c r="C30" s="68"/>
      <c r="D30" s="68"/>
      <c r="E30" s="68"/>
      <c r="F30" s="68"/>
      <c r="G30" s="68"/>
      <c r="H30" s="68"/>
      <c r="I30" s="68"/>
      <c r="J30" s="68"/>
    </row>
    <row r="31" ht="15.75" customHeight="1">
      <c r="B31" s="67">
        <v>15.0</v>
      </c>
      <c r="C31" s="68"/>
      <c r="D31" s="68"/>
      <c r="E31" s="68"/>
      <c r="F31" s="68"/>
      <c r="G31" s="68"/>
      <c r="H31" s="68"/>
      <c r="I31" s="68"/>
      <c r="J31" s="68"/>
    </row>
    <row r="32" ht="15.75" customHeight="1">
      <c r="B32" s="67">
        <v>16.0</v>
      </c>
      <c r="C32" s="68"/>
      <c r="D32" s="68"/>
      <c r="E32" s="68"/>
      <c r="F32" s="68"/>
      <c r="G32" s="68"/>
      <c r="H32" s="68"/>
      <c r="I32" s="68"/>
      <c r="J32" s="68"/>
    </row>
    <row r="33" ht="15.75" customHeight="1">
      <c r="B33" s="67">
        <v>17.0</v>
      </c>
      <c r="C33" s="68"/>
      <c r="D33" s="68"/>
      <c r="E33" s="68"/>
      <c r="F33" s="68"/>
      <c r="G33" s="68"/>
      <c r="H33" s="68"/>
      <c r="I33" s="68"/>
      <c r="J33" s="68"/>
    </row>
    <row r="34" ht="15.75" customHeight="1">
      <c r="B34" s="67">
        <v>18.0</v>
      </c>
      <c r="C34" s="68"/>
      <c r="D34" s="68"/>
      <c r="E34" s="68"/>
      <c r="F34" s="68"/>
      <c r="G34" s="68"/>
      <c r="H34" s="68"/>
      <c r="I34" s="68"/>
      <c r="J34" s="68"/>
    </row>
    <row r="35" ht="15.75" customHeight="1">
      <c r="B35" s="67">
        <v>19.0</v>
      </c>
      <c r="C35" s="68"/>
      <c r="D35" s="68"/>
      <c r="E35" s="68"/>
      <c r="F35" s="68"/>
      <c r="G35" s="68"/>
      <c r="H35" s="68"/>
      <c r="I35" s="68"/>
      <c r="J35" s="68"/>
    </row>
    <row r="36" ht="15.75" customHeight="1">
      <c r="B36" s="67">
        <v>20.0</v>
      </c>
      <c r="C36" s="68"/>
      <c r="D36" s="68"/>
      <c r="E36" s="68"/>
      <c r="F36" s="68"/>
      <c r="G36" s="68"/>
      <c r="H36" s="68"/>
      <c r="I36" s="68"/>
      <c r="J36" s="68"/>
    </row>
    <row r="37" ht="15.75" customHeight="1">
      <c r="B37" s="67">
        <v>21.0</v>
      </c>
      <c r="C37" s="68"/>
      <c r="D37" s="68"/>
      <c r="E37" s="68"/>
      <c r="F37" s="68"/>
      <c r="G37" s="68"/>
      <c r="H37" s="68"/>
      <c r="I37" s="68"/>
      <c r="J37" s="68"/>
    </row>
    <row r="38" ht="15.75" customHeight="1">
      <c r="B38" s="67">
        <v>22.0</v>
      </c>
      <c r="C38" s="68"/>
      <c r="D38" s="68"/>
      <c r="E38" s="68"/>
      <c r="F38" s="68"/>
      <c r="G38" s="68"/>
      <c r="H38" s="68"/>
      <c r="I38" s="68"/>
      <c r="J38" s="68"/>
    </row>
    <row r="39" ht="15.75" customHeight="1">
      <c r="B39" s="67">
        <v>23.0</v>
      </c>
      <c r="C39" s="68"/>
      <c r="D39" s="68"/>
      <c r="E39" s="68"/>
      <c r="F39" s="68"/>
      <c r="G39" s="68"/>
      <c r="H39" s="68"/>
      <c r="I39" s="68"/>
      <c r="J39" s="68"/>
    </row>
    <row r="40" ht="15.75" customHeight="1">
      <c r="B40" s="67">
        <v>24.0</v>
      </c>
      <c r="C40" s="68"/>
      <c r="D40" s="68"/>
      <c r="E40" s="68"/>
      <c r="F40" s="68"/>
      <c r="G40" s="68"/>
      <c r="H40" s="68"/>
      <c r="I40" s="68"/>
      <c r="J40" s="68"/>
    </row>
    <row r="41" ht="15.75" customHeight="1">
      <c r="B41" s="67">
        <v>25.0</v>
      </c>
      <c r="C41" s="68"/>
      <c r="D41" s="68"/>
      <c r="E41" s="68"/>
      <c r="F41" s="68"/>
      <c r="G41" s="68"/>
      <c r="H41" s="68"/>
      <c r="I41" s="68"/>
      <c r="J41" s="68"/>
    </row>
    <row r="42" ht="15.75" customHeight="1">
      <c r="B42" s="67">
        <v>26.0</v>
      </c>
      <c r="C42" s="68"/>
      <c r="D42" s="68"/>
      <c r="E42" s="68"/>
      <c r="F42" s="68"/>
      <c r="G42" s="68"/>
      <c r="H42" s="68"/>
      <c r="I42" s="68"/>
      <c r="J42" s="68"/>
    </row>
    <row r="43" ht="15.75" customHeight="1">
      <c r="B43" s="67">
        <v>27.0</v>
      </c>
      <c r="C43" s="68"/>
      <c r="D43" s="68"/>
      <c r="E43" s="68"/>
      <c r="F43" s="68"/>
      <c r="G43" s="68"/>
      <c r="H43" s="68"/>
      <c r="I43" s="68"/>
      <c r="J43" s="68"/>
    </row>
    <row r="44" ht="15.75" customHeight="1">
      <c r="B44" s="67">
        <v>28.0</v>
      </c>
      <c r="C44" s="68"/>
      <c r="D44" s="68"/>
      <c r="E44" s="68"/>
      <c r="F44" s="68"/>
      <c r="G44" s="68"/>
      <c r="H44" s="68"/>
      <c r="I44" s="68"/>
      <c r="J44" s="68"/>
    </row>
    <row r="45" ht="15.75" customHeight="1">
      <c r="B45" s="67">
        <v>29.0</v>
      </c>
      <c r="C45" s="68"/>
      <c r="D45" s="68"/>
      <c r="E45" s="68"/>
      <c r="F45" s="68"/>
      <c r="G45" s="68"/>
      <c r="H45" s="68"/>
      <c r="I45" s="68"/>
      <c r="J45" s="68"/>
    </row>
    <row r="46" ht="15.75" customHeight="1">
      <c r="B46" s="67">
        <v>30.0</v>
      </c>
      <c r="C46" s="68"/>
      <c r="D46" s="68"/>
      <c r="E46" s="68"/>
      <c r="F46" s="68"/>
      <c r="G46" s="68"/>
      <c r="H46" s="68"/>
      <c r="I46" s="68"/>
      <c r="J46" s="68"/>
    </row>
    <row r="47" ht="15.75" customHeight="1">
      <c r="B47" s="67">
        <v>31.0</v>
      </c>
      <c r="C47" s="68"/>
      <c r="D47" s="68"/>
      <c r="E47" s="68"/>
      <c r="F47" s="68"/>
      <c r="G47" s="68"/>
      <c r="H47" s="68"/>
      <c r="I47" s="68"/>
      <c r="J47" s="68"/>
    </row>
    <row r="48" ht="15.75" customHeight="1">
      <c r="B48" s="67">
        <v>32.0</v>
      </c>
      <c r="C48" s="68"/>
      <c r="D48" s="68"/>
      <c r="E48" s="68"/>
      <c r="F48" s="68"/>
      <c r="G48" s="68"/>
      <c r="H48" s="68"/>
      <c r="I48" s="68"/>
      <c r="J48" s="68"/>
    </row>
    <row r="49" ht="15.75" customHeight="1">
      <c r="B49" s="67">
        <v>33.0</v>
      </c>
      <c r="C49" s="68"/>
      <c r="D49" s="68"/>
      <c r="E49" s="68"/>
      <c r="F49" s="68"/>
      <c r="G49" s="68"/>
      <c r="H49" s="68"/>
      <c r="I49" s="68"/>
      <c r="J49" s="68"/>
    </row>
    <row r="50" ht="15.75" customHeight="1">
      <c r="B50" s="67">
        <v>34.0</v>
      </c>
      <c r="C50" s="68"/>
      <c r="D50" s="68"/>
      <c r="E50" s="68"/>
      <c r="F50" s="68"/>
      <c r="G50" s="68"/>
      <c r="H50" s="68"/>
      <c r="I50" s="68"/>
      <c r="J50" s="68"/>
    </row>
    <row r="51" ht="15.75" customHeight="1">
      <c r="B51" s="67">
        <v>35.0</v>
      </c>
      <c r="C51" s="68"/>
      <c r="D51" s="68"/>
      <c r="E51" s="68"/>
      <c r="F51" s="68"/>
      <c r="G51" s="68"/>
      <c r="H51" s="68"/>
      <c r="I51" s="68"/>
      <c r="J51" s="68"/>
    </row>
    <row r="52" ht="15.75" customHeight="1">
      <c r="B52" s="67">
        <v>36.0</v>
      </c>
      <c r="C52" s="68"/>
      <c r="D52" s="68"/>
      <c r="E52" s="68"/>
      <c r="F52" s="68"/>
      <c r="G52" s="68"/>
      <c r="H52" s="68"/>
      <c r="I52" s="68"/>
      <c r="J52" s="68"/>
    </row>
    <row r="53" ht="15.75" customHeight="1">
      <c r="B53" s="67">
        <v>37.0</v>
      </c>
      <c r="C53" s="68"/>
      <c r="D53" s="68"/>
      <c r="E53" s="68"/>
      <c r="F53" s="68"/>
      <c r="G53" s="68"/>
      <c r="H53" s="68"/>
      <c r="I53" s="68"/>
      <c r="J53" s="68"/>
    </row>
    <row r="54" ht="15.75" customHeight="1">
      <c r="B54" s="67">
        <v>38.0</v>
      </c>
      <c r="C54" s="68"/>
      <c r="D54" s="68"/>
      <c r="E54" s="68"/>
      <c r="F54" s="68"/>
      <c r="G54" s="68"/>
      <c r="H54" s="68"/>
      <c r="I54" s="68"/>
      <c r="J54" s="68"/>
    </row>
    <row r="55" ht="15.75" customHeight="1">
      <c r="B55" s="67">
        <v>39.0</v>
      </c>
      <c r="C55" s="68"/>
      <c r="D55" s="68"/>
      <c r="E55" s="68"/>
      <c r="F55" s="68"/>
      <c r="G55" s="68"/>
      <c r="H55" s="68"/>
      <c r="I55" s="68"/>
      <c r="J55" s="68"/>
    </row>
    <row r="56" ht="15.75" customHeight="1">
      <c r="B56" s="67">
        <v>40.0</v>
      </c>
      <c r="C56" s="68"/>
      <c r="D56" s="68"/>
      <c r="E56" s="68"/>
      <c r="F56" s="68"/>
      <c r="G56" s="68"/>
      <c r="H56" s="68"/>
      <c r="I56" s="68"/>
      <c r="J56" s="68"/>
    </row>
    <row r="57" ht="15.75" customHeight="1">
      <c r="B57" s="67">
        <v>41.0</v>
      </c>
      <c r="C57" s="68"/>
      <c r="D57" s="68"/>
      <c r="E57" s="68"/>
      <c r="F57" s="68"/>
      <c r="G57" s="68"/>
      <c r="H57" s="68"/>
      <c r="I57" s="68"/>
      <c r="J57" s="68"/>
    </row>
    <row r="58" ht="15.75" customHeight="1">
      <c r="B58" s="67">
        <v>42.0</v>
      </c>
      <c r="C58" s="68"/>
      <c r="D58" s="68"/>
      <c r="E58" s="68"/>
      <c r="F58" s="68"/>
      <c r="G58" s="68"/>
      <c r="H58" s="68"/>
      <c r="I58" s="68"/>
      <c r="J58" s="68"/>
    </row>
    <row r="59" ht="15.75" customHeight="1">
      <c r="B59" s="67">
        <v>43.0</v>
      </c>
      <c r="C59" s="68"/>
      <c r="D59" s="68"/>
      <c r="E59" s="68"/>
      <c r="F59" s="68"/>
      <c r="G59" s="68"/>
      <c r="H59" s="68"/>
      <c r="I59" s="68"/>
      <c r="J59" s="68"/>
    </row>
    <row r="60" ht="15.75" customHeight="1">
      <c r="B60" s="67">
        <v>44.0</v>
      </c>
      <c r="C60" s="68"/>
      <c r="D60" s="68"/>
      <c r="E60" s="68"/>
      <c r="F60" s="68"/>
      <c r="G60" s="68"/>
      <c r="H60" s="68"/>
      <c r="I60" s="68"/>
      <c r="J60" s="68"/>
    </row>
    <row r="61" ht="15.75" customHeight="1">
      <c r="B61" s="67">
        <v>45.0</v>
      </c>
      <c r="C61" s="68"/>
      <c r="D61" s="68"/>
      <c r="E61" s="68"/>
      <c r="F61" s="68"/>
      <c r="G61" s="68"/>
      <c r="H61" s="68"/>
      <c r="I61" s="68"/>
      <c r="J61" s="68"/>
    </row>
    <row r="62" ht="15.75" customHeight="1">
      <c r="B62" s="67">
        <v>46.0</v>
      </c>
      <c r="C62" s="68"/>
      <c r="D62" s="68"/>
      <c r="E62" s="68"/>
      <c r="F62" s="68"/>
      <c r="G62" s="68"/>
      <c r="H62" s="68"/>
      <c r="I62" s="68"/>
      <c r="J62" s="68"/>
    </row>
    <row r="63" ht="15.75" customHeight="1">
      <c r="B63" s="67">
        <v>47.0</v>
      </c>
      <c r="C63" s="68"/>
      <c r="D63" s="68"/>
      <c r="E63" s="68"/>
      <c r="F63" s="68"/>
      <c r="G63" s="68"/>
      <c r="H63" s="68"/>
      <c r="I63" s="68"/>
      <c r="J63" s="68"/>
    </row>
    <row r="64" ht="15.75" customHeight="1">
      <c r="B64" s="67">
        <v>48.0</v>
      </c>
      <c r="C64" s="68"/>
      <c r="D64" s="68"/>
      <c r="E64" s="68"/>
      <c r="F64" s="68"/>
      <c r="G64" s="68"/>
      <c r="H64" s="68"/>
      <c r="I64" s="68"/>
      <c r="J64" s="68"/>
    </row>
    <row r="65" ht="15.75" customHeight="1">
      <c r="B65" s="67">
        <v>49.0</v>
      </c>
      <c r="C65" s="68"/>
      <c r="D65" s="68"/>
      <c r="E65" s="68"/>
      <c r="F65" s="68"/>
      <c r="G65" s="68"/>
      <c r="H65" s="68"/>
      <c r="I65" s="68"/>
      <c r="J65" s="68"/>
    </row>
    <row r="66" ht="15.75" customHeight="1">
      <c r="B66" s="67">
        <v>50.0</v>
      </c>
      <c r="C66" s="68"/>
      <c r="D66" s="68"/>
      <c r="E66" s="68"/>
      <c r="F66" s="68"/>
      <c r="G66" s="68"/>
      <c r="H66" s="68"/>
      <c r="I66" s="68"/>
      <c r="J66" s="68"/>
    </row>
    <row r="67" ht="15.75" customHeight="1">
      <c r="B67" s="67">
        <v>51.0</v>
      </c>
      <c r="C67" s="68"/>
      <c r="D67" s="68"/>
      <c r="E67" s="68"/>
      <c r="F67" s="68"/>
      <c r="G67" s="68"/>
      <c r="H67" s="68"/>
      <c r="I67" s="68"/>
      <c r="J67" s="68"/>
    </row>
    <row r="68" ht="15.75" customHeight="1">
      <c r="B68" s="67">
        <v>52.0</v>
      </c>
      <c r="C68" s="68"/>
      <c r="D68" s="68"/>
      <c r="E68" s="68"/>
      <c r="F68" s="68"/>
      <c r="G68" s="68"/>
      <c r="H68" s="68"/>
      <c r="I68" s="68"/>
      <c r="J68" s="68"/>
    </row>
    <row r="69" ht="15.75" customHeight="1">
      <c r="B69" s="67">
        <v>53.0</v>
      </c>
      <c r="C69" s="68"/>
      <c r="D69" s="68"/>
      <c r="E69" s="68"/>
      <c r="F69" s="68"/>
      <c r="G69" s="68"/>
      <c r="H69" s="68"/>
      <c r="I69" s="68"/>
      <c r="J69" s="68"/>
    </row>
    <row r="70" ht="15.75" customHeight="1">
      <c r="B70" s="67">
        <v>54.0</v>
      </c>
      <c r="C70" s="68"/>
      <c r="D70" s="68"/>
      <c r="E70" s="68"/>
      <c r="F70" s="68"/>
      <c r="G70" s="68"/>
      <c r="H70" s="68"/>
      <c r="I70" s="68"/>
      <c r="J70" s="68"/>
    </row>
    <row r="71" ht="15.75" customHeight="1">
      <c r="B71" s="67">
        <v>55.0</v>
      </c>
      <c r="C71" s="68"/>
      <c r="D71" s="68"/>
      <c r="E71" s="68"/>
      <c r="F71" s="68"/>
      <c r="G71" s="68"/>
      <c r="H71" s="68"/>
      <c r="I71" s="68"/>
      <c r="J71" s="68"/>
    </row>
    <row r="72" ht="15.75" customHeight="1">
      <c r="B72" s="67">
        <v>56.0</v>
      </c>
      <c r="C72" s="68"/>
      <c r="D72" s="68"/>
      <c r="E72" s="68"/>
      <c r="F72" s="68"/>
      <c r="G72" s="68"/>
      <c r="H72" s="68"/>
      <c r="I72" s="68"/>
      <c r="J72" s="68"/>
    </row>
    <row r="73" ht="15.75" customHeight="1">
      <c r="B73" s="67">
        <v>57.0</v>
      </c>
      <c r="C73" s="68"/>
      <c r="D73" s="68"/>
      <c r="E73" s="68"/>
      <c r="F73" s="68"/>
      <c r="G73" s="68"/>
      <c r="H73" s="68"/>
      <c r="I73" s="68"/>
      <c r="J73" s="68"/>
    </row>
    <row r="74" ht="15.75" customHeight="1">
      <c r="B74" s="67">
        <v>58.0</v>
      </c>
      <c r="C74" s="68"/>
      <c r="D74" s="68"/>
      <c r="E74" s="68"/>
      <c r="F74" s="68"/>
      <c r="G74" s="68"/>
      <c r="H74" s="68"/>
      <c r="I74" s="68"/>
      <c r="J74" s="68"/>
    </row>
    <row r="75" ht="15.75" customHeight="1">
      <c r="B75" s="67">
        <v>59.0</v>
      </c>
      <c r="C75" s="68"/>
      <c r="D75" s="68"/>
      <c r="E75" s="68"/>
      <c r="F75" s="68"/>
      <c r="G75" s="68"/>
      <c r="H75" s="68"/>
      <c r="I75" s="68"/>
      <c r="J75" s="68"/>
    </row>
    <row r="76" ht="15.75" customHeight="1">
      <c r="B76" s="67">
        <v>60.0</v>
      </c>
      <c r="C76" s="68"/>
      <c r="D76" s="68"/>
      <c r="E76" s="68"/>
      <c r="F76" s="68"/>
      <c r="G76" s="68"/>
      <c r="H76" s="68"/>
      <c r="I76" s="68"/>
      <c r="J76" s="68"/>
    </row>
    <row r="77" ht="15.75" customHeight="1">
      <c r="B77" s="67">
        <v>61.0</v>
      </c>
      <c r="C77" s="68"/>
      <c r="D77" s="68"/>
      <c r="E77" s="68"/>
      <c r="F77" s="68"/>
      <c r="G77" s="68"/>
      <c r="H77" s="68"/>
      <c r="I77" s="68"/>
      <c r="J77" s="68"/>
    </row>
    <row r="78" ht="15.75" customHeight="1">
      <c r="B78" s="67">
        <v>62.0</v>
      </c>
      <c r="C78" s="68"/>
      <c r="D78" s="68"/>
      <c r="E78" s="68"/>
      <c r="F78" s="68"/>
      <c r="G78" s="68"/>
      <c r="H78" s="68"/>
      <c r="I78" s="68"/>
      <c r="J78" s="68"/>
    </row>
    <row r="79" ht="15.75" customHeight="1">
      <c r="B79" s="67">
        <v>63.0</v>
      </c>
      <c r="C79" s="68"/>
      <c r="D79" s="68"/>
      <c r="E79" s="68"/>
      <c r="F79" s="68"/>
      <c r="G79" s="68"/>
      <c r="H79" s="68"/>
      <c r="I79" s="68"/>
      <c r="J79" s="68"/>
    </row>
    <row r="80" ht="15.75" customHeight="1">
      <c r="B80" s="67">
        <v>64.0</v>
      </c>
      <c r="C80" s="68"/>
      <c r="D80" s="68"/>
      <c r="E80" s="68"/>
      <c r="F80" s="68"/>
      <c r="G80" s="68"/>
      <c r="H80" s="68"/>
      <c r="I80" s="68"/>
      <c r="J80" s="68"/>
    </row>
    <row r="81" ht="15.75" customHeight="1">
      <c r="B81" s="67">
        <v>65.0</v>
      </c>
      <c r="C81" s="68"/>
      <c r="D81" s="68"/>
      <c r="E81" s="68"/>
      <c r="F81" s="68"/>
      <c r="G81" s="68"/>
      <c r="H81" s="68"/>
      <c r="I81" s="68"/>
      <c r="J81" s="68"/>
    </row>
    <row r="82" ht="15.75" customHeight="1">
      <c r="B82" s="67">
        <v>66.0</v>
      </c>
      <c r="C82" s="68"/>
      <c r="D82" s="68"/>
      <c r="E82" s="68"/>
      <c r="F82" s="68"/>
      <c r="G82" s="68"/>
      <c r="H82" s="68"/>
      <c r="I82" s="68"/>
      <c r="J82" s="68"/>
    </row>
    <row r="83" ht="15.75" customHeight="1">
      <c r="B83" s="67">
        <v>67.0</v>
      </c>
      <c r="C83" s="68"/>
      <c r="D83" s="68"/>
      <c r="E83" s="68"/>
      <c r="F83" s="68"/>
      <c r="G83" s="68"/>
      <c r="H83" s="68"/>
      <c r="I83" s="68"/>
      <c r="J83" s="68"/>
    </row>
    <row r="84" ht="15.75" customHeight="1">
      <c r="B84" s="67">
        <v>68.0</v>
      </c>
      <c r="C84" s="68"/>
      <c r="D84" s="68"/>
      <c r="E84" s="68"/>
      <c r="F84" s="68"/>
      <c r="G84" s="68"/>
      <c r="H84" s="68"/>
      <c r="I84" s="68"/>
      <c r="J84" s="68"/>
    </row>
    <row r="85" ht="15.75" customHeight="1">
      <c r="B85" s="67">
        <v>69.0</v>
      </c>
      <c r="C85" s="68"/>
      <c r="D85" s="68"/>
      <c r="E85" s="68"/>
      <c r="F85" s="68"/>
      <c r="G85" s="68"/>
      <c r="H85" s="68"/>
      <c r="I85" s="68"/>
      <c r="J85" s="68"/>
    </row>
    <row r="86" ht="15.75" customHeight="1">
      <c r="B86" s="67">
        <v>70.0</v>
      </c>
      <c r="C86" s="68"/>
      <c r="D86" s="68"/>
      <c r="E86" s="68"/>
      <c r="F86" s="68"/>
      <c r="G86" s="68"/>
      <c r="H86" s="68"/>
      <c r="I86" s="68"/>
      <c r="J86" s="68"/>
    </row>
    <row r="87" ht="15.75" customHeight="1">
      <c r="B87" s="67">
        <v>71.0</v>
      </c>
      <c r="C87" s="68"/>
      <c r="D87" s="68"/>
      <c r="E87" s="68"/>
      <c r="F87" s="68"/>
      <c r="G87" s="68"/>
      <c r="H87" s="68"/>
      <c r="I87" s="68"/>
      <c r="J87" s="68"/>
    </row>
    <row r="88" ht="15.75" customHeight="1">
      <c r="B88" s="67">
        <v>72.0</v>
      </c>
      <c r="C88" s="68"/>
      <c r="D88" s="68"/>
      <c r="E88" s="68"/>
      <c r="F88" s="68"/>
      <c r="G88" s="68"/>
      <c r="H88" s="68"/>
      <c r="I88" s="68"/>
      <c r="J88" s="68"/>
    </row>
    <row r="89" ht="15.75" customHeight="1">
      <c r="B89" s="67">
        <v>73.0</v>
      </c>
      <c r="C89" s="68"/>
      <c r="D89" s="68"/>
      <c r="E89" s="68"/>
      <c r="F89" s="68"/>
      <c r="G89" s="68"/>
      <c r="H89" s="68"/>
      <c r="I89" s="68"/>
      <c r="J89" s="68"/>
    </row>
    <row r="90" ht="15.75" customHeight="1">
      <c r="B90" s="67">
        <v>74.0</v>
      </c>
      <c r="C90" s="68"/>
      <c r="D90" s="68"/>
      <c r="E90" s="68"/>
      <c r="F90" s="68"/>
      <c r="G90" s="68"/>
      <c r="H90" s="68"/>
      <c r="I90" s="68"/>
      <c r="J90" s="68"/>
    </row>
    <row r="91" ht="15.75" customHeight="1">
      <c r="B91" s="67">
        <v>75.0</v>
      </c>
      <c r="C91" s="68"/>
      <c r="D91" s="68"/>
      <c r="E91" s="68"/>
      <c r="F91" s="68"/>
      <c r="G91" s="68"/>
      <c r="H91" s="68"/>
      <c r="I91" s="68"/>
      <c r="J91" s="68"/>
    </row>
    <row r="92" ht="15.75" customHeight="1">
      <c r="B92" s="67">
        <v>76.0</v>
      </c>
      <c r="C92" s="68"/>
      <c r="D92" s="68"/>
      <c r="E92" s="68"/>
      <c r="F92" s="68"/>
      <c r="G92" s="68"/>
      <c r="H92" s="68"/>
      <c r="I92" s="68"/>
      <c r="J92" s="68"/>
    </row>
    <row r="93" ht="15.75" customHeight="1">
      <c r="B93" s="67">
        <v>77.0</v>
      </c>
      <c r="C93" s="68"/>
      <c r="D93" s="68"/>
      <c r="E93" s="68"/>
      <c r="F93" s="68"/>
      <c r="G93" s="68"/>
      <c r="H93" s="68"/>
      <c r="I93" s="68"/>
      <c r="J93" s="68"/>
    </row>
    <row r="94" ht="15.75" customHeight="1">
      <c r="B94" s="67">
        <v>78.0</v>
      </c>
      <c r="C94" s="68"/>
      <c r="D94" s="68"/>
      <c r="E94" s="68"/>
      <c r="F94" s="68"/>
      <c r="G94" s="68"/>
      <c r="H94" s="68"/>
      <c r="I94" s="68"/>
      <c r="J94" s="68"/>
    </row>
    <row r="95" ht="15.75" customHeight="1">
      <c r="B95" s="67">
        <v>79.0</v>
      </c>
      <c r="C95" s="68"/>
      <c r="D95" s="68"/>
      <c r="E95" s="68"/>
      <c r="F95" s="68"/>
      <c r="G95" s="68"/>
      <c r="H95" s="68"/>
      <c r="I95" s="68"/>
      <c r="J95" s="68"/>
    </row>
    <row r="96" ht="15.75" customHeight="1">
      <c r="B96" s="67">
        <v>80.0</v>
      </c>
      <c r="C96" s="68"/>
      <c r="D96" s="68"/>
      <c r="E96" s="68"/>
      <c r="F96" s="68"/>
      <c r="G96" s="68"/>
      <c r="H96" s="68"/>
      <c r="I96" s="68"/>
      <c r="J96" s="68"/>
    </row>
    <row r="97" ht="15.75" customHeight="1">
      <c r="B97" s="67">
        <v>81.0</v>
      </c>
      <c r="C97" s="68"/>
      <c r="D97" s="68"/>
      <c r="E97" s="68"/>
      <c r="F97" s="68"/>
      <c r="G97" s="68"/>
      <c r="H97" s="68"/>
      <c r="I97" s="68"/>
      <c r="J97" s="68"/>
    </row>
    <row r="98" ht="15.75" customHeight="1">
      <c r="B98" s="67">
        <v>82.0</v>
      </c>
      <c r="C98" s="68"/>
      <c r="D98" s="68"/>
      <c r="E98" s="68"/>
      <c r="F98" s="68"/>
      <c r="G98" s="68"/>
      <c r="H98" s="68"/>
      <c r="I98" s="68"/>
      <c r="J98" s="68"/>
    </row>
    <row r="99" ht="15.75" customHeight="1">
      <c r="B99" s="67">
        <v>83.0</v>
      </c>
      <c r="C99" s="68"/>
      <c r="D99" s="68"/>
      <c r="E99" s="68"/>
      <c r="F99" s="68"/>
      <c r="G99" s="68"/>
      <c r="H99" s="68"/>
      <c r="I99" s="68"/>
      <c r="J99" s="68"/>
    </row>
    <row r="100" ht="15.75" customHeight="1">
      <c r="B100" s="67">
        <v>84.0</v>
      </c>
      <c r="C100" s="68"/>
      <c r="D100" s="68"/>
      <c r="E100" s="68"/>
      <c r="F100" s="68"/>
      <c r="G100" s="68"/>
      <c r="H100" s="68"/>
      <c r="I100" s="68"/>
      <c r="J100" s="68"/>
    </row>
    <row r="101" ht="15.75" customHeight="1">
      <c r="B101" s="67">
        <v>85.0</v>
      </c>
      <c r="C101" s="68"/>
      <c r="D101" s="68"/>
      <c r="E101" s="68"/>
      <c r="F101" s="68"/>
      <c r="G101" s="68"/>
      <c r="H101" s="68"/>
      <c r="I101" s="68"/>
      <c r="J101" s="68"/>
    </row>
    <row r="102" ht="15.75" customHeight="1">
      <c r="B102" s="67">
        <v>86.0</v>
      </c>
      <c r="C102" s="68"/>
      <c r="D102" s="68"/>
      <c r="E102" s="68"/>
      <c r="F102" s="68"/>
      <c r="G102" s="68"/>
      <c r="H102" s="68"/>
      <c r="I102" s="68"/>
      <c r="J102" s="68"/>
    </row>
    <row r="103" ht="15.75" customHeight="1">
      <c r="B103" s="67">
        <v>87.0</v>
      </c>
      <c r="C103" s="68"/>
      <c r="D103" s="68"/>
      <c r="E103" s="68"/>
      <c r="F103" s="68"/>
      <c r="G103" s="68"/>
      <c r="H103" s="68"/>
      <c r="I103" s="68"/>
      <c r="J103" s="68"/>
    </row>
    <row r="104" ht="15.75" customHeight="1">
      <c r="B104" s="67">
        <v>88.0</v>
      </c>
      <c r="C104" s="68"/>
      <c r="D104" s="68"/>
      <c r="E104" s="68"/>
      <c r="F104" s="68"/>
      <c r="G104" s="68"/>
      <c r="H104" s="68"/>
      <c r="I104" s="68"/>
      <c r="J104" s="68"/>
    </row>
    <row r="105" ht="15.75" customHeight="1">
      <c r="B105" s="67">
        <v>89.0</v>
      </c>
      <c r="C105" s="68"/>
      <c r="D105" s="68"/>
      <c r="E105" s="68"/>
      <c r="F105" s="68"/>
      <c r="G105" s="68"/>
      <c r="H105" s="68"/>
      <c r="I105" s="68"/>
      <c r="J105" s="68"/>
    </row>
    <row r="106" ht="15.75" customHeight="1">
      <c r="B106" s="67">
        <v>90.0</v>
      </c>
      <c r="C106" s="68"/>
      <c r="D106" s="68"/>
      <c r="E106" s="68"/>
      <c r="F106" s="68"/>
      <c r="G106" s="68"/>
      <c r="H106" s="68"/>
      <c r="I106" s="68"/>
      <c r="J106" s="68"/>
    </row>
    <row r="107" ht="15.75" customHeight="1">
      <c r="B107" s="67">
        <v>91.0</v>
      </c>
      <c r="C107" s="68"/>
      <c r="D107" s="68"/>
      <c r="E107" s="68"/>
      <c r="F107" s="68"/>
      <c r="G107" s="68"/>
      <c r="H107" s="68"/>
      <c r="I107" s="68"/>
      <c r="J107" s="68"/>
    </row>
    <row r="108" ht="15.75" customHeight="1">
      <c r="B108" s="67">
        <v>92.0</v>
      </c>
      <c r="C108" s="68"/>
      <c r="D108" s="68"/>
      <c r="E108" s="68"/>
      <c r="F108" s="68"/>
      <c r="G108" s="68"/>
      <c r="H108" s="68"/>
      <c r="I108" s="68"/>
      <c r="J108" s="68"/>
    </row>
    <row r="109" ht="15.75" customHeight="1">
      <c r="B109" s="67">
        <v>93.0</v>
      </c>
      <c r="C109" s="68"/>
      <c r="D109" s="68"/>
      <c r="E109" s="68"/>
      <c r="F109" s="68"/>
      <c r="G109" s="68"/>
      <c r="H109" s="68"/>
      <c r="I109" s="68"/>
      <c r="J109" s="68"/>
    </row>
    <row r="110" ht="15.75" customHeight="1">
      <c r="B110" s="67">
        <v>94.0</v>
      </c>
      <c r="C110" s="68"/>
      <c r="D110" s="68"/>
      <c r="E110" s="68"/>
      <c r="F110" s="68"/>
      <c r="G110" s="68"/>
      <c r="H110" s="68"/>
      <c r="I110" s="68"/>
      <c r="J110" s="68"/>
    </row>
    <row r="111" ht="15.75" customHeight="1">
      <c r="B111" s="67">
        <v>95.0</v>
      </c>
      <c r="C111" s="68"/>
      <c r="D111" s="68"/>
      <c r="E111" s="68"/>
      <c r="F111" s="68"/>
      <c r="G111" s="68"/>
      <c r="H111" s="68"/>
      <c r="I111" s="68"/>
      <c r="J111" s="68"/>
    </row>
    <row r="112" ht="15.75" customHeight="1">
      <c r="B112" s="67">
        <v>96.0</v>
      </c>
      <c r="C112" s="68"/>
      <c r="D112" s="68"/>
      <c r="E112" s="68"/>
      <c r="F112" s="68"/>
      <c r="G112" s="68"/>
      <c r="H112" s="68"/>
      <c r="I112" s="68"/>
      <c r="J112" s="68"/>
    </row>
    <row r="113" ht="15.75" customHeight="1">
      <c r="B113" s="67">
        <v>97.0</v>
      </c>
      <c r="C113" s="68"/>
      <c r="D113" s="68"/>
      <c r="E113" s="68"/>
      <c r="F113" s="68"/>
      <c r="G113" s="68"/>
      <c r="H113" s="68"/>
      <c r="I113" s="68"/>
      <c r="J113" s="68"/>
    </row>
    <row r="114" ht="15.75" customHeight="1">
      <c r="B114" s="67">
        <v>98.0</v>
      </c>
      <c r="C114" s="68"/>
      <c r="D114" s="68"/>
      <c r="E114" s="68"/>
      <c r="F114" s="68"/>
      <c r="G114" s="68"/>
      <c r="H114" s="68"/>
      <c r="I114" s="68"/>
      <c r="J114" s="68"/>
    </row>
    <row r="115" ht="15.75" customHeight="1">
      <c r="B115" s="67">
        <v>99.0</v>
      </c>
      <c r="C115" s="68"/>
      <c r="D115" s="68"/>
      <c r="E115" s="68"/>
      <c r="F115" s="68"/>
      <c r="G115" s="68"/>
      <c r="H115" s="68"/>
      <c r="I115" s="68"/>
      <c r="J115" s="68"/>
    </row>
    <row r="116" ht="15.75" customHeight="1">
      <c r="B116" s="67">
        <v>100.0</v>
      </c>
      <c r="C116" s="68"/>
      <c r="D116" s="68"/>
      <c r="E116" s="68"/>
      <c r="F116" s="68"/>
      <c r="G116" s="68"/>
      <c r="H116" s="68"/>
      <c r="I116" s="68"/>
      <c r="J116" s="68"/>
    </row>
    <row r="117" ht="15.75" customHeight="1">
      <c r="B117" s="67">
        <v>101.0</v>
      </c>
      <c r="C117" s="68"/>
      <c r="D117" s="68"/>
      <c r="E117" s="68"/>
      <c r="F117" s="68"/>
      <c r="G117" s="68"/>
      <c r="H117" s="68"/>
      <c r="I117" s="68"/>
      <c r="J117" s="68"/>
    </row>
    <row r="118" ht="15.75" customHeight="1">
      <c r="B118" s="67">
        <v>102.0</v>
      </c>
      <c r="C118" s="68"/>
      <c r="D118" s="68"/>
      <c r="E118" s="68"/>
      <c r="F118" s="68"/>
      <c r="G118" s="68"/>
      <c r="H118" s="68"/>
      <c r="I118" s="68"/>
      <c r="J118" s="68"/>
    </row>
    <row r="119" ht="15.75" customHeight="1">
      <c r="B119" s="67">
        <v>103.0</v>
      </c>
      <c r="C119" s="68"/>
      <c r="D119" s="68"/>
      <c r="E119" s="68"/>
      <c r="F119" s="68"/>
      <c r="G119" s="68"/>
      <c r="H119" s="68"/>
      <c r="I119" s="68"/>
      <c r="J119" s="68"/>
    </row>
    <row r="120" ht="15.75" customHeight="1">
      <c r="B120" s="67">
        <v>104.0</v>
      </c>
      <c r="C120" s="68"/>
      <c r="D120" s="68"/>
      <c r="E120" s="68"/>
      <c r="F120" s="68"/>
      <c r="G120" s="68"/>
      <c r="H120" s="68"/>
      <c r="I120" s="68"/>
      <c r="J120" s="68"/>
    </row>
    <row r="121" ht="15.75" customHeight="1">
      <c r="B121" s="67">
        <v>105.0</v>
      </c>
      <c r="C121" s="68"/>
      <c r="D121" s="68"/>
      <c r="E121" s="68"/>
      <c r="F121" s="68"/>
      <c r="G121" s="68"/>
      <c r="H121" s="68"/>
      <c r="I121" s="68"/>
      <c r="J121" s="68"/>
    </row>
    <row r="122" ht="15.75" customHeight="1">
      <c r="B122" s="67">
        <v>106.0</v>
      </c>
      <c r="C122" s="68"/>
      <c r="D122" s="68"/>
      <c r="E122" s="68"/>
      <c r="F122" s="68"/>
      <c r="G122" s="68"/>
      <c r="H122" s="68"/>
      <c r="I122" s="68"/>
      <c r="J122" s="68"/>
    </row>
    <row r="123" ht="15.75" customHeight="1">
      <c r="B123" s="67">
        <v>107.0</v>
      </c>
      <c r="C123" s="68"/>
      <c r="D123" s="68"/>
      <c r="E123" s="68"/>
      <c r="F123" s="68"/>
      <c r="G123" s="68"/>
      <c r="H123" s="68"/>
      <c r="I123" s="68"/>
      <c r="J123" s="68"/>
    </row>
    <row r="124" ht="15.75" customHeight="1">
      <c r="B124" s="67">
        <v>108.0</v>
      </c>
      <c r="C124" s="68"/>
      <c r="D124" s="68"/>
      <c r="E124" s="68"/>
      <c r="F124" s="68"/>
      <c r="G124" s="68"/>
      <c r="H124" s="68"/>
      <c r="I124" s="68"/>
      <c r="J124" s="68"/>
    </row>
    <row r="125" ht="15.75" customHeight="1">
      <c r="B125" s="67">
        <v>109.0</v>
      </c>
      <c r="C125" s="68"/>
      <c r="D125" s="68"/>
      <c r="E125" s="68"/>
      <c r="F125" s="68"/>
      <c r="G125" s="68"/>
      <c r="H125" s="68"/>
      <c r="I125" s="68"/>
      <c r="J125" s="68"/>
    </row>
    <row r="126" ht="15.75" customHeight="1">
      <c r="B126" s="67">
        <v>110.0</v>
      </c>
      <c r="C126" s="68"/>
      <c r="D126" s="68"/>
      <c r="E126" s="68"/>
      <c r="F126" s="68"/>
      <c r="G126" s="68"/>
      <c r="H126" s="68"/>
      <c r="I126" s="68"/>
      <c r="J126" s="68"/>
    </row>
    <row r="127" ht="15.75" customHeight="1">
      <c r="B127" s="67">
        <v>111.0</v>
      </c>
      <c r="C127" s="68"/>
      <c r="D127" s="68"/>
      <c r="E127" s="68"/>
      <c r="F127" s="68"/>
      <c r="G127" s="68"/>
      <c r="H127" s="68"/>
      <c r="I127" s="68"/>
      <c r="J127" s="68"/>
    </row>
    <row r="128" ht="15.75" customHeight="1">
      <c r="B128" s="67">
        <v>112.0</v>
      </c>
      <c r="C128" s="68"/>
      <c r="D128" s="68"/>
      <c r="E128" s="68"/>
      <c r="F128" s="68"/>
      <c r="G128" s="68"/>
      <c r="H128" s="68"/>
      <c r="I128" s="68"/>
      <c r="J128" s="68"/>
    </row>
    <row r="129" ht="15.75" customHeight="1">
      <c r="B129" s="67">
        <v>113.0</v>
      </c>
      <c r="C129" s="68"/>
      <c r="D129" s="68"/>
      <c r="E129" s="68"/>
      <c r="F129" s="68"/>
      <c r="G129" s="68"/>
      <c r="H129" s="68"/>
      <c r="I129" s="68"/>
      <c r="J129" s="68"/>
    </row>
    <row r="130" ht="15.75" customHeight="1">
      <c r="B130" s="67">
        <v>114.0</v>
      </c>
      <c r="C130" s="68"/>
      <c r="D130" s="68"/>
      <c r="E130" s="68"/>
      <c r="F130" s="68"/>
      <c r="G130" s="68"/>
      <c r="H130" s="68"/>
      <c r="I130" s="68"/>
      <c r="J130" s="68"/>
    </row>
    <row r="131" ht="15.75" customHeight="1">
      <c r="B131" s="67">
        <v>115.0</v>
      </c>
      <c r="C131" s="68"/>
      <c r="D131" s="68"/>
      <c r="E131" s="68"/>
      <c r="F131" s="68"/>
      <c r="G131" s="68"/>
      <c r="H131" s="68"/>
      <c r="I131" s="68"/>
      <c r="J131" s="68"/>
    </row>
    <row r="132" ht="15.75" customHeight="1">
      <c r="B132" s="67">
        <v>116.0</v>
      </c>
      <c r="C132" s="68"/>
      <c r="D132" s="68"/>
      <c r="E132" s="68"/>
      <c r="F132" s="68"/>
      <c r="G132" s="68"/>
      <c r="H132" s="68"/>
      <c r="I132" s="68"/>
      <c r="J132" s="68"/>
    </row>
    <row r="133" ht="15.75" customHeight="1">
      <c r="B133" s="67">
        <v>117.0</v>
      </c>
      <c r="C133" s="68"/>
      <c r="D133" s="68"/>
      <c r="E133" s="68"/>
      <c r="F133" s="68"/>
      <c r="G133" s="68"/>
      <c r="H133" s="68"/>
      <c r="I133" s="68"/>
      <c r="J133" s="68"/>
    </row>
    <row r="134" ht="15.75" customHeight="1">
      <c r="B134" s="67">
        <v>118.0</v>
      </c>
      <c r="C134" s="68"/>
      <c r="D134" s="68"/>
      <c r="E134" s="68"/>
      <c r="F134" s="68"/>
      <c r="G134" s="68"/>
      <c r="H134" s="68"/>
      <c r="I134" s="68"/>
      <c r="J134" s="68"/>
    </row>
    <row r="135" ht="15.75" customHeight="1">
      <c r="B135" s="67">
        <v>119.0</v>
      </c>
      <c r="C135" s="68"/>
      <c r="D135" s="68"/>
      <c r="E135" s="68"/>
      <c r="F135" s="68"/>
      <c r="G135" s="68"/>
      <c r="H135" s="68"/>
      <c r="I135" s="68"/>
      <c r="J135" s="68"/>
    </row>
    <row r="136" ht="15.75" customHeight="1">
      <c r="B136" s="67">
        <v>120.0</v>
      </c>
      <c r="C136" s="68"/>
      <c r="D136" s="68"/>
      <c r="E136" s="68"/>
      <c r="F136" s="68"/>
      <c r="G136" s="68"/>
      <c r="H136" s="68"/>
      <c r="I136" s="68"/>
      <c r="J136" s="68"/>
    </row>
    <row r="137" ht="15.75" customHeight="1">
      <c r="B137" s="67">
        <v>121.0</v>
      </c>
      <c r="C137" s="68"/>
      <c r="D137" s="68"/>
      <c r="E137" s="68"/>
      <c r="F137" s="68"/>
      <c r="G137" s="68"/>
      <c r="H137" s="68"/>
      <c r="I137" s="68"/>
      <c r="J137" s="68"/>
    </row>
    <row r="138" ht="15.75" customHeight="1">
      <c r="B138" s="67">
        <v>122.0</v>
      </c>
      <c r="C138" s="68"/>
      <c r="D138" s="68"/>
      <c r="E138" s="68"/>
      <c r="F138" s="68"/>
      <c r="G138" s="68"/>
      <c r="H138" s="68"/>
      <c r="I138" s="68"/>
      <c r="J138" s="68"/>
    </row>
    <row r="139" ht="15.75" customHeight="1">
      <c r="B139" s="67">
        <v>123.0</v>
      </c>
      <c r="C139" s="68"/>
      <c r="D139" s="68"/>
      <c r="E139" s="68"/>
      <c r="F139" s="68"/>
      <c r="G139" s="68"/>
      <c r="H139" s="68"/>
      <c r="I139" s="68"/>
      <c r="J139" s="68"/>
    </row>
    <row r="140" ht="15.75" customHeight="1">
      <c r="B140" s="67">
        <v>124.0</v>
      </c>
      <c r="C140" s="68"/>
      <c r="D140" s="68"/>
      <c r="E140" s="68"/>
      <c r="F140" s="68"/>
      <c r="G140" s="68"/>
      <c r="H140" s="68"/>
      <c r="I140" s="68"/>
      <c r="J140" s="68"/>
    </row>
    <row r="141" ht="15.75" customHeight="1">
      <c r="B141" s="67">
        <v>125.0</v>
      </c>
      <c r="C141" s="68"/>
      <c r="D141" s="68"/>
      <c r="E141" s="68"/>
      <c r="F141" s="68"/>
      <c r="G141" s="68"/>
      <c r="H141" s="68"/>
      <c r="I141" s="68"/>
      <c r="J141" s="68"/>
    </row>
    <row r="142" ht="15.75" customHeight="1">
      <c r="B142" s="67">
        <v>126.0</v>
      </c>
      <c r="C142" s="68"/>
      <c r="D142" s="68"/>
      <c r="E142" s="68"/>
      <c r="F142" s="68"/>
      <c r="G142" s="68"/>
      <c r="H142" s="68"/>
      <c r="I142" s="68"/>
      <c r="J142" s="68"/>
    </row>
    <row r="143" ht="15.75" customHeight="1">
      <c r="B143" s="67">
        <v>127.0</v>
      </c>
      <c r="C143" s="68"/>
      <c r="D143" s="68"/>
      <c r="E143" s="68"/>
      <c r="F143" s="68"/>
      <c r="G143" s="68"/>
      <c r="H143" s="68"/>
      <c r="I143" s="68"/>
      <c r="J143" s="68"/>
    </row>
    <row r="144" ht="15.75" customHeight="1">
      <c r="B144" s="67">
        <v>128.0</v>
      </c>
      <c r="C144" s="68"/>
      <c r="D144" s="68"/>
      <c r="E144" s="68"/>
      <c r="F144" s="68"/>
      <c r="G144" s="68"/>
      <c r="H144" s="68"/>
      <c r="I144" s="68"/>
      <c r="J144" s="68"/>
    </row>
    <row r="145" ht="15.75" customHeight="1">
      <c r="B145" s="67">
        <v>129.0</v>
      </c>
      <c r="C145" s="68"/>
      <c r="D145" s="68"/>
      <c r="E145" s="68"/>
      <c r="F145" s="68"/>
      <c r="G145" s="68"/>
      <c r="H145" s="68"/>
      <c r="I145" s="68"/>
      <c r="J145" s="68"/>
    </row>
    <row r="146" ht="15.75" customHeight="1">
      <c r="B146" s="67">
        <v>130.0</v>
      </c>
      <c r="C146" s="68"/>
      <c r="D146" s="68"/>
      <c r="E146" s="68"/>
      <c r="F146" s="68"/>
      <c r="G146" s="68"/>
      <c r="H146" s="68"/>
      <c r="I146" s="68"/>
      <c r="J146" s="68"/>
    </row>
    <row r="147" ht="15.75" customHeight="1">
      <c r="B147" s="67">
        <v>131.0</v>
      </c>
      <c r="C147" s="68"/>
      <c r="D147" s="68"/>
      <c r="E147" s="68"/>
      <c r="F147" s="68"/>
      <c r="G147" s="68"/>
      <c r="H147" s="68"/>
      <c r="I147" s="68"/>
      <c r="J147" s="68"/>
    </row>
    <row r="148" ht="15.75" customHeight="1">
      <c r="B148" s="67">
        <v>132.0</v>
      </c>
      <c r="C148" s="68"/>
      <c r="D148" s="68"/>
      <c r="E148" s="68"/>
      <c r="F148" s="68"/>
      <c r="G148" s="68"/>
      <c r="H148" s="68"/>
      <c r="I148" s="68"/>
      <c r="J148" s="68"/>
    </row>
    <row r="149" ht="15.75" customHeight="1">
      <c r="B149" s="67">
        <v>133.0</v>
      </c>
      <c r="C149" s="68"/>
      <c r="D149" s="68"/>
      <c r="E149" s="68"/>
      <c r="F149" s="68"/>
      <c r="G149" s="68"/>
      <c r="H149" s="68"/>
      <c r="I149" s="68"/>
      <c r="J149" s="68"/>
    </row>
    <row r="150" ht="15.75" customHeight="1">
      <c r="B150" s="67">
        <v>134.0</v>
      </c>
      <c r="C150" s="68"/>
      <c r="D150" s="68"/>
      <c r="E150" s="68"/>
      <c r="F150" s="68"/>
      <c r="G150" s="68"/>
      <c r="H150" s="68"/>
      <c r="I150" s="68"/>
      <c r="J150" s="68"/>
    </row>
    <row r="151" ht="15.75" customHeight="1">
      <c r="B151" s="67">
        <v>135.0</v>
      </c>
      <c r="C151" s="68"/>
      <c r="D151" s="68"/>
      <c r="E151" s="68"/>
      <c r="F151" s="68"/>
      <c r="G151" s="68"/>
      <c r="H151" s="68"/>
      <c r="I151" s="68"/>
      <c r="J151" s="68"/>
    </row>
    <row r="152" ht="15.75" customHeight="1">
      <c r="B152" s="67">
        <v>136.0</v>
      </c>
      <c r="C152" s="68"/>
      <c r="D152" s="68"/>
      <c r="E152" s="68"/>
      <c r="F152" s="68"/>
      <c r="G152" s="68"/>
      <c r="H152" s="68"/>
      <c r="I152" s="68"/>
      <c r="J152" s="68"/>
    </row>
    <row r="153" ht="15.75" customHeight="1">
      <c r="B153" s="67">
        <v>137.0</v>
      </c>
      <c r="C153" s="68"/>
      <c r="D153" s="68"/>
      <c r="E153" s="68"/>
      <c r="F153" s="68"/>
      <c r="G153" s="68"/>
      <c r="H153" s="68"/>
      <c r="I153" s="68"/>
      <c r="J153" s="68"/>
    </row>
    <row r="154" ht="15.75" customHeight="1">
      <c r="B154" s="67">
        <v>138.0</v>
      </c>
      <c r="C154" s="68"/>
      <c r="D154" s="68"/>
      <c r="E154" s="68"/>
      <c r="F154" s="68"/>
      <c r="G154" s="68"/>
      <c r="H154" s="68"/>
      <c r="I154" s="68"/>
      <c r="J154" s="68"/>
    </row>
    <row r="155" ht="15.75" customHeight="1">
      <c r="B155" s="67">
        <v>139.0</v>
      </c>
      <c r="C155" s="68"/>
      <c r="D155" s="68"/>
      <c r="E155" s="68"/>
      <c r="F155" s="68"/>
      <c r="G155" s="68"/>
      <c r="H155" s="68"/>
      <c r="I155" s="68"/>
      <c r="J155" s="68"/>
    </row>
    <row r="156" ht="15.75" customHeight="1">
      <c r="B156" s="67">
        <v>140.0</v>
      </c>
      <c r="C156" s="68"/>
      <c r="D156" s="68"/>
      <c r="E156" s="68"/>
      <c r="F156" s="68"/>
      <c r="G156" s="68"/>
      <c r="H156" s="68"/>
      <c r="I156" s="68"/>
      <c r="J156" s="68"/>
    </row>
    <row r="157" ht="15.75" customHeight="1">
      <c r="B157" s="67">
        <v>141.0</v>
      </c>
      <c r="C157" s="68"/>
      <c r="D157" s="68"/>
      <c r="E157" s="68"/>
      <c r="F157" s="68"/>
      <c r="G157" s="68"/>
      <c r="H157" s="68"/>
      <c r="I157" s="68"/>
      <c r="J157" s="68"/>
    </row>
    <row r="158" ht="15.75" customHeight="1">
      <c r="B158" s="67">
        <v>142.0</v>
      </c>
      <c r="C158" s="68"/>
      <c r="D158" s="68"/>
      <c r="E158" s="68"/>
      <c r="F158" s="68"/>
      <c r="G158" s="68"/>
      <c r="H158" s="68"/>
      <c r="I158" s="68"/>
      <c r="J158" s="68"/>
    </row>
    <row r="159" ht="15.75" customHeight="1">
      <c r="B159" s="67">
        <v>143.0</v>
      </c>
      <c r="C159" s="68"/>
      <c r="D159" s="68"/>
      <c r="E159" s="68"/>
      <c r="F159" s="68"/>
      <c r="G159" s="68"/>
      <c r="H159" s="68"/>
      <c r="I159" s="68"/>
      <c r="J159" s="68"/>
    </row>
    <row r="160" ht="15.75" customHeight="1">
      <c r="B160" s="67">
        <v>144.0</v>
      </c>
      <c r="C160" s="68"/>
      <c r="D160" s="68"/>
      <c r="E160" s="68"/>
      <c r="F160" s="68"/>
      <c r="G160" s="68"/>
      <c r="H160" s="68"/>
      <c r="I160" s="68"/>
      <c r="J160" s="68"/>
    </row>
    <row r="161" ht="15.75" customHeight="1">
      <c r="B161" s="67">
        <v>145.0</v>
      </c>
      <c r="C161" s="68"/>
      <c r="D161" s="68"/>
      <c r="E161" s="68"/>
      <c r="F161" s="68"/>
      <c r="G161" s="68"/>
      <c r="H161" s="68"/>
      <c r="I161" s="68"/>
      <c r="J161" s="68"/>
    </row>
    <row r="162" ht="15.75" customHeight="1">
      <c r="B162" s="67">
        <v>146.0</v>
      </c>
      <c r="C162" s="68"/>
      <c r="D162" s="68"/>
      <c r="E162" s="68"/>
      <c r="F162" s="68"/>
      <c r="G162" s="68"/>
      <c r="H162" s="68"/>
      <c r="I162" s="68"/>
      <c r="J162" s="68"/>
    </row>
    <row r="163" ht="15.75" customHeight="1">
      <c r="B163" s="67">
        <v>147.0</v>
      </c>
      <c r="C163" s="68"/>
      <c r="D163" s="68"/>
      <c r="E163" s="68"/>
      <c r="F163" s="68"/>
      <c r="G163" s="68"/>
      <c r="H163" s="68"/>
      <c r="I163" s="68"/>
      <c r="J163" s="68"/>
    </row>
    <row r="164" ht="15.75" customHeight="1">
      <c r="B164" s="67">
        <v>148.0</v>
      </c>
      <c r="C164" s="68"/>
      <c r="D164" s="68"/>
      <c r="E164" s="68"/>
      <c r="F164" s="68"/>
      <c r="G164" s="68"/>
      <c r="H164" s="68"/>
      <c r="I164" s="68"/>
      <c r="J164" s="68"/>
    </row>
    <row r="165" ht="15.75" customHeight="1">
      <c r="B165" s="67">
        <v>149.0</v>
      </c>
      <c r="C165" s="68"/>
      <c r="D165" s="68"/>
      <c r="E165" s="68"/>
      <c r="F165" s="68"/>
      <c r="G165" s="68"/>
      <c r="H165" s="68"/>
      <c r="I165" s="68"/>
      <c r="J165" s="68"/>
    </row>
    <row r="166" ht="15.75" customHeight="1">
      <c r="B166" s="67">
        <v>150.0</v>
      </c>
      <c r="C166" s="68"/>
      <c r="D166" s="68"/>
      <c r="E166" s="68"/>
      <c r="F166" s="68"/>
      <c r="G166" s="68"/>
      <c r="H166" s="68"/>
      <c r="I166" s="68"/>
      <c r="J166" s="68"/>
    </row>
    <row r="167" ht="15.75" customHeight="1">
      <c r="B167" s="67">
        <v>151.0</v>
      </c>
      <c r="C167" s="68"/>
      <c r="D167" s="68"/>
      <c r="E167" s="68"/>
      <c r="F167" s="68"/>
      <c r="G167" s="68"/>
      <c r="H167" s="68"/>
      <c r="I167" s="68"/>
      <c r="J167" s="68"/>
    </row>
    <row r="168" ht="15.75" customHeight="1">
      <c r="B168" s="67">
        <v>152.0</v>
      </c>
      <c r="C168" s="68"/>
      <c r="D168" s="68"/>
      <c r="E168" s="68"/>
      <c r="F168" s="68"/>
      <c r="G168" s="68"/>
      <c r="H168" s="68"/>
      <c r="I168" s="68"/>
      <c r="J168" s="68"/>
    </row>
    <row r="169" ht="15.75" customHeight="1">
      <c r="B169" s="67">
        <v>153.0</v>
      </c>
      <c r="C169" s="68"/>
      <c r="D169" s="68"/>
      <c r="E169" s="68"/>
      <c r="F169" s="68"/>
      <c r="G169" s="68"/>
      <c r="H169" s="68"/>
      <c r="I169" s="68"/>
      <c r="J169" s="68"/>
    </row>
    <row r="170" ht="15.75" customHeight="1">
      <c r="B170" s="67">
        <v>154.0</v>
      </c>
      <c r="C170" s="68"/>
      <c r="D170" s="68"/>
      <c r="E170" s="68"/>
      <c r="F170" s="68"/>
      <c r="G170" s="68"/>
      <c r="H170" s="68"/>
      <c r="I170" s="68"/>
      <c r="J170" s="68"/>
    </row>
    <row r="171" ht="15.75" customHeight="1">
      <c r="B171" s="67">
        <v>155.0</v>
      </c>
      <c r="C171" s="68"/>
      <c r="D171" s="68"/>
      <c r="E171" s="68"/>
      <c r="F171" s="68"/>
      <c r="G171" s="68"/>
      <c r="H171" s="68"/>
      <c r="I171" s="68"/>
      <c r="J171" s="68"/>
    </row>
    <row r="172" ht="15.75" customHeight="1">
      <c r="B172" s="67">
        <v>156.0</v>
      </c>
      <c r="C172" s="68"/>
      <c r="D172" s="68"/>
      <c r="E172" s="68"/>
      <c r="F172" s="68"/>
      <c r="G172" s="68"/>
      <c r="H172" s="68"/>
      <c r="I172" s="68"/>
      <c r="J172" s="68"/>
    </row>
    <row r="173" ht="15.75" customHeight="1">
      <c r="B173" s="67">
        <v>157.0</v>
      </c>
      <c r="C173" s="68"/>
      <c r="D173" s="68"/>
      <c r="E173" s="68"/>
      <c r="F173" s="68"/>
      <c r="G173" s="68"/>
      <c r="H173" s="68"/>
      <c r="I173" s="68"/>
      <c r="J173" s="68"/>
    </row>
    <row r="174" ht="15.75" customHeight="1">
      <c r="B174" s="67">
        <v>158.0</v>
      </c>
      <c r="C174" s="68"/>
      <c r="D174" s="68"/>
      <c r="E174" s="68"/>
      <c r="F174" s="68"/>
      <c r="G174" s="68"/>
      <c r="H174" s="68"/>
      <c r="I174" s="68"/>
      <c r="J174" s="68"/>
    </row>
    <row r="175" ht="15.75" customHeight="1">
      <c r="B175" s="67">
        <v>159.0</v>
      </c>
      <c r="C175" s="68"/>
      <c r="D175" s="68"/>
      <c r="E175" s="68"/>
      <c r="F175" s="68"/>
      <c r="G175" s="68"/>
      <c r="H175" s="68"/>
      <c r="I175" s="68"/>
      <c r="J175" s="68"/>
    </row>
    <row r="176" ht="15.75" customHeight="1">
      <c r="B176" s="67">
        <v>160.0</v>
      </c>
      <c r="C176" s="68"/>
      <c r="D176" s="68"/>
      <c r="E176" s="68"/>
      <c r="F176" s="68"/>
      <c r="G176" s="68"/>
      <c r="H176" s="68"/>
      <c r="I176" s="68"/>
      <c r="J176" s="68"/>
    </row>
    <row r="177" ht="15.75" customHeight="1">
      <c r="B177" s="67">
        <v>161.0</v>
      </c>
      <c r="C177" s="68"/>
      <c r="D177" s="68"/>
      <c r="E177" s="68"/>
      <c r="F177" s="68"/>
      <c r="G177" s="68"/>
      <c r="H177" s="68"/>
      <c r="I177" s="68"/>
      <c r="J177" s="68"/>
    </row>
    <row r="178" ht="15.75" customHeight="1">
      <c r="B178" s="67">
        <v>162.0</v>
      </c>
      <c r="C178" s="68"/>
      <c r="D178" s="68"/>
      <c r="E178" s="68"/>
      <c r="F178" s="68"/>
      <c r="G178" s="68"/>
      <c r="H178" s="68"/>
      <c r="I178" s="68"/>
      <c r="J178" s="68"/>
    </row>
    <row r="179" ht="15.75" customHeight="1">
      <c r="B179" s="67">
        <v>163.0</v>
      </c>
      <c r="C179" s="68"/>
      <c r="D179" s="68"/>
      <c r="E179" s="68"/>
      <c r="F179" s="68"/>
      <c r="G179" s="68"/>
      <c r="H179" s="68"/>
      <c r="I179" s="68"/>
      <c r="J179" s="68"/>
    </row>
    <row r="180" ht="15.75" customHeight="1">
      <c r="B180" s="67">
        <v>164.0</v>
      </c>
      <c r="C180" s="68"/>
      <c r="D180" s="68"/>
      <c r="E180" s="68"/>
      <c r="F180" s="68"/>
      <c r="G180" s="68"/>
      <c r="H180" s="68"/>
      <c r="I180" s="68"/>
      <c r="J180" s="68"/>
    </row>
    <row r="181" ht="15.75" customHeight="1">
      <c r="B181" s="67">
        <v>165.0</v>
      </c>
      <c r="C181" s="68"/>
      <c r="D181" s="68"/>
      <c r="E181" s="68"/>
      <c r="F181" s="68"/>
      <c r="G181" s="68"/>
      <c r="H181" s="68"/>
      <c r="I181" s="68"/>
      <c r="J181" s="68"/>
    </row>
    <row r="182" ht="15.75" customHeight="1">
      <c r="B182" s="67">
        <v>166.0</v>
      </c>
      <c r="C182" s="68"/>
      <c r="D182" s="68"/>
      <c r="E182" s="68"/>
      <c r="F182" s="68"/>
      <c r="G182" s="68"/>
      <c r="H182" s="68"/>
      <c r="I182" s="68"/>
      <c r="J182" s="68"/>
    </row>
    <row r="183" ht="15.75" customHeight="1">
      <c r="B183" s="67">
        <v>167.0</v>
      </c>
      <c r="C183" s="68"/>
      <c r="D183" s="68"/>
      <c r="E183" s="68"/>
      <c r="F183" s="68"/>
      <c r="G183" s="68"/>
      <c r="H183" s="68"/>
      <c r="I183" s="68"/>
      <c r="J183" s="68"/>
    </row>
    <row r="184" ht="15.75" customHeight="1">
      <c r="B184" s="67">
        <v>168.0</v>
      </c>
      <c r="C184" s="68"/>
      <c r="D184" s="68"/>
      <c r="E184" s="68"/>
      <c r="F184" s="68"/>
      <c r="G184" s="68"/>
      <c r="H184" s="68"/>
      <c r="I184" s="68"/>
      <c r="J184" s="68"/>
    </row>
    <row r="185" ht="15.75" customHeight="1">
      <c r="B185" s="67">
        <v>169.0</v>
      </c>
      <c r="C185" s="68"/>
      <c r="D185" s="68"/>
      <c r="E185" s="68"/>
      <c r="F185" s="68"/>
      <c r="G185" s="68"/>
      <c r="H185" s="68"/>
      <c r="I185" s="68"/>
      <c r="J185" s="68"/>
    </row>
    <row r="186" ht="15.75" customHeight="1">
      <c r="B186" s="67">
        <v>170.0</v>
      </c>
      <c r="C186" s="68"/>
      <c r="D186" s="68"/>
      <c r="E186" s="68"/>
      <c r="F186" s="68"/>
      <c r="G186" s="68"/>
      <c r="H186" s="68"/>
      <c r="I186" s="68"/>
      <c r="J186" s="68"/>
    </row>
    <row r="187" ht="15.75" customHeight="1">
      <c r="B187" s="67">
        <v>171.0</v>
      </c>
      <c r="C187" s="68"/>
      <c r="D187" s="68"/>
      <c r="E187" s="68"/>
      <c r="F187" s="68"/>
      <c r="G187" s="68"/>
      <c r="H187" s="68"/>
      <c r="I187" s="68"/>
      <c r="J187" s="68"/>
    </row>
    <row r="188" ht="15.75" customHeight="1">
      <c r="B188" s="67">
        <v>172.0</v>
      </c>
      <c r="C188" s="68"/>
      <c r="D188" s="68"/>
      <c r="E188" s="68"/>
      <c r="F188" s="68"/>
      <c r="G188" s="68"/>
      <c r="H188" s="68"/>
      <c r="I188" s="68"/>
      <c r="J188" s="68"/>
    </row>
    <row r="189" ht="15.75" customHeight="1">
      <c r="B189" s="67">
        <v>173.0</v>
      </c>
      <c r="C189" s="68"/>
      <c r="D189" s="68"/>
      <c r="E189" s="68"/>
      <c r="F189" s="68"/>
      <c r="G189" s="68"/>
      <c r="H189" s="68"/>
      <c r="I189" s="68"/>
      <c r="J189" s="68"/>
    </row>
    <row r="190" ht="15.75" customHeight="1">
      <c r="B190" s="67">
        <v>174.0</v>
      </c>
      <c r="C190" s="68"/>
      <c r="D190" s="68"/>
      <c r="E190" s="68"/>
      <c r="F190" s="68"/>
      <c r="G190" s="68"/>
      <c r="H190" s="68"/>
      <c r="I190" s="68"/>
      <c r="J190" s="68"/>
    </row>
    <row r="191" ht="15.75" customHeight="1">
      <c r="B191" s="67">
        <v>175.0</v>
      </c>
      <c r="C191" s="68"/>
      <c r="D191" s="68"/>
      <c r="E191" s="68"/>
      <c r="F191" s="68"/>
      <c r="G191" s="68"/>
      <c r="H191" s="68"/>
      <c r="I191" s="68"/>
      <c r="J191" s="68"/>
    </row>
    <row r="192" ht="15.75" customHeight="1">
      <c r="B192" s="67">
        <v>176.0</v>
      </c>
      <c r="C192" s="68"/>
      <c r="D192" s="68"/>
      <c r="E192" s="68"/>
      <c r="F192" s="68"/>
      <c r="G192" s="68"/>
      <c r="H192" s="68"/>
      <c r="I192" s="68"/>
      <c r="J192" s="68"/>
    </row>
    <row r="193" ht="15.75" customHeight="1">
      <c r="B193" s="67">
        <v>177.0</v>
      </c>
      <c r="C193" s="68"/>
      <c r="D193" s="68"/>
      <c r="E193" s="68"/>
      <c r="F193" s="68"/>
      <c r="G193" s="68"/>
      <c r="H193" s="68"/>
      <c r="I193" s="68"/>
      <c r="J193" s="68"/>
    </row>
    <row r="194" ht="15.75" customHeight="1">
      <c r="B194" s="67">
        <v>178.0</v>
      </c>
      <c r="C194" s="68"/>
      <c r="D194" s="68"/>
      <c r="E194" s="68"/>
      <c r="F194" s="68"/>
      <c r="G194" s="68"/>
      <c r="H194" s="68"/>
      <c r="I194" s="68"/>
      <c r="J194" s="68"/>
    </row>
    <row r="195" ht="15.75" customHeight="1">
      <c r="B195" s="67">
        <v>179.0</v>
      </c>
      <c r="C195" s="68"/>
      <c r="D195" s="68"/>
      <c r="E195" s="68"/>
      <c r="F195" s="68"/>
      <c r="G195" s="68"/>
      <c r="H195" s="68"/>
      <c r="I195" s="68"/>
      <c r="J195" s="68"/>
    </row>
    <row r="196" ht="15.75" customHeight="1">
      <c r="B196" s="67">
        <v>180.0</v>
      </c>
      <c r="C196" s="68"/>
      <c r="D196" s="68"/>
      <c r="E196" s="68"/>
      <c r="F196" s="68"/>
      <c r="G196" s="68"/>
      <c r="H196" s="68"/>
      <c r="I196" s="68"/>
      <c r="J196" s="68"/>
    </row>
    <row r="197" ht="15.75" customHeight="1">
      <c r="B197" s="67">
        <v>181.0</v>
      </c>
      <c r="C197" s="68"/>
      <c r="D197" s="68"/>
      <c r="E197" s="68"/>
      <c r="F197" s="68"/>
      <c r="G197" s="68"/>
      <c r="H197" s="68"/>
      <c r="I197" s="68"/>
      <c r="J197" s="68"/>
    </row>
    <row r="198" ht="15.75" customHeight="1">
      <c r="B198" s="67">
        <v>182.0</v>
      </c>
      <c r="C198" s="68"/>
      <c r="D198" s="68"/>
      <c r="E198" s="68"/>
      <c r="F198" s="68"/>
      <c r="G198" s="68"/>
      <c r="H198" s="68"/>
      <c r="I198" s="68"/>
      <c r="J198" s="68"/>
    </row>
    <row r="199" ht="15.75" customHeight="1">
      <c r="B199" s="67">
        <v>183.0</v>
      </c>
      <c r="C199" s="68"/>
      <c r="D199" s="68"/>
      <c r="E199" s="68"/>
      <c r="F199" s="68"/>
      <c r="G199" s="68"/>
      <c r="H199" s="68"/>
      <c r="I199" s="68"/>
      <c r="J199" s="68"/>
    </row>
    <row r="200" ht="15.75" customHeight="1">
      <c r="B200" s="67">
        <v>184.0</v>
      </c>
      <c r="C200" s="68"/>
      <c r="D200" s="68"/>
      <c r="E200" s="68"/>
      <c r="F200" s="68"/>
      <c r="G200" s="68"/>
      <c r="H200" s="68"/>
      <c r="I200" s="68"/>
      <c r="J200" s="68"/>
    </row>
    <row r="201" ht="15.75" customHeight="1">
      <c r="B201" s="67">
        <v>185.0</v>
      </c>
      <c r="C201" s="68"/>
      <c r="D201" s="68"/>
      <c r="E201" s="68"/>
      <c r="F201" s="68"/>
      <c r="G201" s="68"/>
      <c r="H201" s="68"/>
      <c r="I201" s="68"/>
      <c r="J201" s="68"/>
    </row>
    <row r="202" ht="15.75" customHeight="1">
      <c r="B202" s="67">
        <v>186.0</v>
      </c>
      <c r="C202" s="68"/>
      <c r="D202" s="68"/>
      <c r="E202" s="68"/>
      <c r="F202" s="68"/>
      <c r="G202" s="68"/>
      <c r="H202" s="68"/>
      <c r="I202" s="68"/>
      <c r="J202" s="68"/>
    </row>
    <row r="203" ht="15.75" customHeight="1">
      <c r="B203" s="67">
        <v>187.0</v>
      </c>
      <c r="C203" s="68"/>
      <c r="D203" s="68"/>
      <c r="E203" s="68"/>
      <c r="F203" s="68"/>
      <c r="G203" s="68"/>
      <c r="H203" s="68"/>
      <c r="I203" s="68"/>
      <c r="J203" s="68"/>
    </row>
    <row r="204" ht="15.75" customHeight="1">
      <c r="B204" s="67">
        <v>188.0</v>
      </c>
      <c r="C204" s="68"/>
      <c r="D204" s="68"/>
      <c r="E204" s="68"/>
      <c r="F204" s="68"/>
      <c r="G204" s="68"/>
      <c r="H204" s="68"/>
      <c r="I204" s="68"/>
      <c r="J204" s="68"/>
    </row>
    <row r="205" ht="15.75" customHeight="1">
      <c r="B205" s="67">
        <v>189.0</v>
      </c>
      <c r="C205" s="68"/>
      <c r="D205" s="68"/>
      <c r="E205" s="68"/>
      <c r="F205" s="68"/>
      <c r="G205" s="68"/>
      <c r="H205" s="68"/>
      <c r="I205" s="68"/>
      <c r="J205" s="68"/>
    </row>
    <row r="206" ht="15.75" customHeight="1">
      <c r="B206" s="67">
        <v>190.0</v>
      </c>
      <c r="C206" s="68"/>
      <c r="D206" s="68"/>
      <c r="E206" s="68"/>
      <c r="F206" s="68"/>
      <c r="G206" s="68"/>
      <c r="H206" s="68"/>
      <c r="I206" s="68"/>
      <c r="J206" s="68"/>
    </row>
    <row r="207" ht="15.75" customHeight="1">
      <c r="B207" s="67">
        <v>191.0</v>
      </c>
      <c r="C207" s="68"/>
      <c r="D207" s="68"/>
      <c r="E207" s="68"/>
      <c r="F207" s="68"/>
      <c r="G207" s="68"/>
      <c r="H207" s="68"/>
      <c r="I207" s="68"/>
      <c r="J207" s="68"/>
    </row>
    <row r="208" ht="15.75" customHeight="1">
      <c r="B208" s="67">
        <v>192.0</v>
      </c>
      <c r="C208" s="68"/>
      <c r="D208" s="68"/>
      <c r="E208" s="68"/>
      <c r="F208" s="68"/>
      <c r="G208" s="68"/>
      <c r="H208" s="68"/>
      <c r="I208" s="68"/>
      <c r="J208" s="68"/>
    </row>
    <row r="209" ht="15.75" customHeight="1">
      <c r="B209" s="67">
        <v>193.0</v>
      </c>
      <c r="C209" s="68"/>
      <c r="D209" s="68"/>
      <c r="E209" s="68"/>
      <c r="F209" s="68"/>
      <c r="G209" s="68"/>
      <c r="H209" s="68"/>
      <c r="I209" s="68"/>
      <c r="J209" s="68"/>
    </row>
    <row r="210" ht="15.75" customHeight="1">
      <c r="B210" s="67">
        <v>194.0</v>
      </c>
      <c r="C210" s="68"/>
      <c r="D210" s="68"/>
      <c r="E210" s="68"/>
      <c r="F210" s="68"/>
      <c r="G210" s="68"/>
      <c r="H210" s="68"/>
      <c r="I210" s="68"/>
      <c r="J210" s="68"/>
    </row>
    <row r="211" ht="15.75" customHeight="1">
      <c r="B211" s="67">
        <v>195.0</v>
      </c>
      <c r="C211" s="68"/>
      <c r="D211" s="68"/>
      <c r="E211" s="68"/>
      <c r="F211" s="68"/>
      <c r="G211" s="68"/>
      <c r="H211" s="68"/>
      <c r="I211" s="68"/>
      <c r="J211" s="68"/>
    </row>
    <row r="212" ht="15.75" customHeight="1">
      <c r="B212" s="67">
        <v>196.0</v>
      </c>
      <c r="C212" s="68"/>
      <c r="D212" s="68"/>
      <c r="E212" s="68"/>
      <c r="F212" s="68"/>
      <c r="G212" s="68"/>
      <c r="H212" s="68"/>
      <c r="I212" s="68"/>
      <c r="J212" s="68"/>
    </row>
    <row r="213" ht="15.75" customHeight="1">
      <c r="B213" s="67">
        <v>197.0</v>
      </c>
      <c r="C213" s="68"/>
      <c r="D213" s="68"/>
      <c r="E213" s="68"/>
      <c r="F213" s="68"/>
      <c r="G213" s="68"/>
      <c r="H213" s="68"/>
      <c r="I213" s="68"/>
      <c r="J213" s="68"/>
    </row>
    <row r="214" ht="15.75" customHeight="1">
      <c r="B214" s="67">
        <v>198.0</v>
      </c>
      <c r="C214" s="68"/>
      <c r="D214" s="68"/>
      <c r="E214" s="68"/>
      <c r="F214" s="68"/>
      <c r="G214" s="68"/>
      <c r="H214" s="68"/>
      <c r="I214" s="68"/>
      <c r="J214" s="68"/>
    </row>
    <row r="215" ht="15.75" customHeight="1">
      <c r="B215" s="67">
        <v>199.0</v>
      </c>
      <c r="C215" s="68"/>
      <c r="D215" s="68"/>
      <c r="E215" s="68"/>
      <c r="F215" s="68"/>
      <c r="G215" s="68"/>
      <c r="H215" s="68"/>
      <c r="I215" s="68"/>
      <c r="J215" s="68"/>
    </row>
    <row r="216" ht="15.75" customHeight="1">
      <c r="B216" s="67">
        <v>200.0</v>
      </c>
      <c r="C216" s="68"/>
      <c r="D216" s="68"/>
      <c r="E216" s="68"/>
      <c r="F216" s="68"/>
      <c r="G216" s="68"/>
      <c r="H216" s="68"/>
      <c r="I216" s="68"/>
      <c r="J216" s="68"/>
    </row>
    <row r="217" ht="15.75" customHeight="1"/>
    <row r="218" ht="15.75" customHeight="1"/>
    <row r="219" ht="15.75" customHeight="1">
      <c r="B219" s="7" t="s">
        <v>287</v>
      </c>
      <c r="C219" s="8"/>
      <c r="D219" s="8"/>
      <c r="E219" s="8"/>
      <c r="F219" s="8"/>
      <c r="G219" s="8"/>
      <c r="H219" s="8"/>
      <c r="I219" s="8"/>
      <c r="J219" s="9"/>
    </row>
    <row r="220" ht="15.75" customHeight="1">
      <c r="B220" s="66" t="s">
        <v>288</v>
      </c>
      <c r="C220" s="66" t="s">
        <v>239</v>
      </c>
      <c r="D220" s="66" t="s">
        <v>227</v>
      </c>
      <c r="E220" s="66" t="s">
        <v>228</v>
      </c>
      <c r="F220" s="66" t="s">
        <v>289</v>
      </c>
      <c r="G220" s="66" t="s">
        <v>290</v>
      </c>
      <c r="H220" s="66" t="s">
        <v>291</v>
      </c>
      <c r="I220" s="66" t="s">
        <v>292</v>
      </c>
      <c r="J220" s="66" t="s">
        <v>293</v>
      </c>
      <c r="K220" s="66" t="s">
        <v>294</v>
      </c>
    </row>
    <row r="221" ht="15.75" customHeight="1">
      <c r="B221" s="68"/>
      <c r="C221" s="68"/>
      <c r="D221" s="68"/>
      <c r="E221" s="68"/>
      <c r="F221" s="68"/>
      <c r="G221" s="68"/>
      <c r="H221" s="68"/>
      <c r="I221" s="68"/>
      <c r="J221" s="68"/>
      <c r="K221" s="68"/>
    </row>
    <row r="222" ht="15.75" customHeight="1">
      <c r="B222" s="68"/>
      <c r="C222" s="68"/>
      <c r="D222" s="68"/>
      <c r="E222" s="68"/>
      <c r="F222" s="68"/>
      <c r="G222" s="68"/>
      <c r="H222" s="68"/>
      <c r="I222" s="68"/>
      <c r="J222" s="68"/>
      <c r="K222" s="68"/>
    </row>
    <row r="223" ht="15.75" customHeight="1">
      <c r="B223" s="68"/>
      <c r="C223" s="68"/>
      <c r="D223" s="68"/>
      <c r="E223" s="68"/>
      <c r="F223" s="68"/>
      <c r="G223" s="68"/>
      <c r="H223" s="68"/>
      <c r="I223" s="68"/>
      <c r="J223" s="68"/>
      <c r="K223" s="68"/>
    </row>
    <row r="224" ht="15.75" customHeight="1">
      <c r="B224" s="68"/>
      <c r="C224" s="68"/>
      <c r="D224" s="68"/>
      <c r="E224" s="68"/>
      <c r="F224" s="68"/>
      <c r="G224" s="68"/>
      <c r="H224" s="68"/>
      <c r="I224" s="68"/>
      <c r="J224" s="68"/>
      <c r="K224" s="68"/>
    </row>
    <row r="225" ht="15.75" customHeight="1">
      <c r="B225" s="68"/>
      <c r="C225" s="68"/>
      <c r="D225" s="68"/>
      <c r="E225" s="68"/>
      <c r="F225" s="68"/>
      <c r="G225" s="68"/>
      <c r="H225" s="68"/>
      <c r="I225" s="68"/>
      <c r="J225" s="68"/>
      <c r="K225" s="68"/>
    </row>
    <row r="226" ht="15.75" customHeight="1">
      <c r="B226" s="68"/>
      <c r="C226" s="68"/>
      <c r="D226" s="68"/>
      <c r="E226" s="68"/>
      <c r="F226" s="68"/>
      <c r="G226" s="68"/>
      <c r="H226" s="68"/>
      <c r="I226" s="68"/>
      <c r="J226" s="68"/>
      <c r="K226" s="68"/>
    </row>
    <row r="227" ht="15.75" customHeight="1">
      <c r="B227" s="68"/>
      <c r="C227" s="68"/>
      <c r="D227" s="68"/>
      <c r="E227" s="68"/>
      <c r="F227" s="68"/>
      <c r="G227" s="68"/>
      <c r="H227" s="68"/>
      <c r="I227" s="68"/>
      <c r="J227" s="68"/>
      <c r="K227" s="68"/>
    </row>
    <row r="228" ht="15.75" customHeight="1">
      <c r="B228" s="68"/>
      <c r="C228" s="68"/>
      <c r="D228" s="68"/>
      <c r="E228" s="68"/>
      <c r="F228" s="68"/>
      <c r="G228" s="68"/>
      <c r="H228" s="68"/>
      <c r="I228" s="68"/>
      <c r="J228" s="68"/>
      <c r="K228" s="68"/>
    </row>
    <row r="229" ht="15.75" customHeight="1">
      <c r="B229" s="68"/>
      <c r="C229" s="68"/>
      <c r="D229" s="68"/>
      <c r="E229" s="68"/>
      <c r="F229" s="68"/>
      <c r="G229" s="68"/>
      <c r="H229" s="68"/>
      <c r="I229" s="68"/>
      <c r="J229" s="68"/>
      <c r="K229" s="68"/>
    </row>
    <row r="230" ht="15.75" customHeight="1">
      <c r="B230" s="68"/>
      <c r="C230" s="68"/>
      <c r="D230" s="68"/>
      <c r="E230" s="68"/>
      <c r="F230" s="68"/>
      <c r="G230" s="68"/>
      <c r="H230" s="68"/>
      <c r="I230" s="68"/>
      <c r="J230" s="68"/>
      <c r="K230" s="68"/>
    </row>
    <row r="231" ht="15.75" customHeight="1">
      <c r="B231" s="68"/>
      <c r="C231" s="68"/>
      <c r="D231" s="68"/>
      <c r="E231" s="68"/>
      <c r="F231" s="68"/>
      <c r="G231" s="68"/>
      <c r="H231" s="68"/>
      <c r="I231" s="68"/>
      <c r="J231" s="68"/>
      <c r="K231" s="68"/>
    </row>
    <row r="232" ht="15.75" customHeight="1">
      <c r="B232" s="68"/>
      <c r="C232" s="68"/>
      <c r="D232" s="68"/>
      <c r="E232" s="68"/>
      <c r="F232" s="68"/>
      <c r="G232" s="68"/>
      <c r="H232" s="68"/>
      <c r="I232" s="68"/>
      <c r="J232" s="68"/>
      <c r="K232" s="68"/>
    </row>
    <row r="233" ht="15.75" customHeight="1">
      <c r="B233" s="68"/>
      <c r="C233" s="68"/>
      <c r="D233" s="68"/>
      <c r="E233" s="68"/>
      <c r="F233" s="68"/>
      <c r="G233" s="68"/>
      <c r="H233" s="68"/>
      <c r="I233" s="68"/>
      <c r="J233" s="68"/>
      <c r="K233" s="68"/>
    </row>
    <row r="234" ht="15.75" customHeight="1">
      <c r="B234" s="68"/>
      <c r="C234" s="68"/>
      <c r="D234" s="68"/>
      <c r="E234" s="68"/>
      <c r="F234" s="68"/>
      <c r="G234" s="68"/>
      <c r="H234" s="68"/>
      <c r="I234" s="68"/>
      <c r="J234" s="68"/>
      <c r="K234" s="68"/>
    </row>
    <row r="235" ht="15.75" customHeight="1">
      <c r="B235" s="68"/>
      <c r="C235" s="68"/>
      <c r="D235" s="68"/>
      <c r="E235" s="68"/>
      <c r="F235" s="68"/>
      <c r="G235" s="68"/>
      <c r="H235" s="68"/>
      <c r="I235" s="68"/>
      <c r="J235" s="68"/>
      <c r="K235" s="68"/>
    </row>
    <row r="236" ht="15.75" customHeight="1">
      <c r="B236" s="68"/>
      <c r="C236" s="68"/>
      <c r="D236" s="68"/>
      <c r="E236" s="68"/>
      <c r="F236" s="68"/>
      <c r="G236" s="68"/>
      <c r="H236" s="68"/>
      <c r="I236" s="68"/>
      <c r="J236" s="68"/>
      <c r="K236" s="68"/>
    </row>
    <row r="237" ht="15.75" customHeight="1">
      <c r="B237" s="68"/>
      <c r="C237" s="68"/>
      <c r="D237" s="68"/>
      <c r="E237" s="68"/>
      <c r="F237" s="68"/>
      <c r="G237" s="68"/>
      <c r="H237" s="68"/>
      <c r="I237" s="68"/>
      <c r="J237" s="68"/>
      <c r="K237" s="68"/>
    </row>
    <row r="238" ht="15.75" customHeight="1">
      <c r="B238" s="68"/>
      <c r="C238" s="68"/>
      <c r="D238" s="68"/>
      <c r="E238" s="68"/>
      <c r="F238" s="68"/>
      <c r="G238" s="68"/>
      <c r="H238" s="68"/>
      <c r="I238" s="68"/>
      <c r="J238" s="68"/>
      <c r="K238" s="68"/>
    </row>
    <row r="239" ht="15.75" customHeight="1">
      <c r="B239" s="68"/>
      <c r="C239" s="68"/>
      <c r="D239" s="68"/>
      <c r="E239" s="68"/>
      <c r="F239" s="68"/>
      <c r="G239" s="68"/>
      <c r="H239" s="68"/>
      <c r="I239" s="68"/>
      <c r="J239" s="68"/>
      <c r="K239" s="68"/>
    </row>
    <row r="240" ht="15.75" customHeight="1">
      <c r="B240" s="68"/>
      <c r="C240" s="68"/>
      <c r="D240" s="68"/>
      <c r="E240" s="68"/>
      <c r="F240" s="68"/>
      <c r="G240" s="68"/>
      <c r="H240" s="68"/>
      <c r="I240" s="68"/>
      <c r="J240" s="68"/>
      <c r="K240" s="68"/>
    </row>
    <row r="241" ht="15.75" customHeight="1">
      <c r="B241" s="68"/>
      <c r="C241" s="68"/>
      <c r="D241" s="68"/>
      <c r="E241" s="68"/>
      <c r="F241" s="68"/>
      <c r="G241" s="68"/>
      <c r="H241" s="68"/>
      <c r="I241" s="68"/>
      <c r="J241" s="68"/>
      <c r="K241" s="68"/>
    </row>
    <row r="242" ht="15.75" customHeight="1">
      <c r="B242" s="68"/>
      <c r="C242" s="68"/>
      <c r="D242" s="68"/>
      <c r="E242" s="68"/>
      <c r="F242" s="68"/>
      <c r="G242" s="68"/>
      <c r="H242" s="68"/>
      <c r="I242" s="68"/>
      <c r="J242" s="68"/>
      <c r="K242" s="68"/>
    </row>
    <row r="243" ht="15.75" customHeight="1">
      <c r="B243" s="68"/>
      <c r="C243" s="68"/>
      <c r="D243" s="68"/>
      <c r="E243" s="68"/>
      <c r="F243" s="68"/>
      <c r="G243" s="68"/>
      <c r="H243" s="68"/>
      <c r="I243" s="68"/>
      <c r="J243" s="68"/>
      <c r="K243" s="68"/>
    </row>
    <row r="244" ht="15.75" customHeight="1">
      <c r="B244" s="68"/>
      <c r="C244" s="68"/>
      <c r="D244" s="68"/>
      <c r="E244" s="68"/>
      <c r="F244" s="68"/>
      <c r="G244" s="68"/>
      <c r="H244" s="68"/>
      <c r="I244" s="68"/>
      <c r="J244" s="68"/>
      <c r="K244" s="68"/>
    </row>
    <row r="245" ht="15.75" customHeight="1">
      <c r="B245" s="68"/>
      <c r="C245" s="68"/>
      <c r="D245" s="68"/>
      <c r="E245" s="68"/>
      <c r="F245" s="68"/>
      <c r="G245" s="68"/>
      <c r="H245" s="68"/>
      <c r="I245" s="68"/>
      <c r="J245" s="68"/>
      <c r="K245" s="68"/>
    </row>
    <row r="246" ht="15.75" customHeight="1">
      <c r="B246" s="68"/>
      <c r="C246" s="68"/>
      <c r="D246" s="68"/>
      <c r="E246" s="68"/>
      <c r="F246" s="68"/>
      <c r="G246" s="68"/>
      <c r="H246" s="68"/>
      <c r="I246" s="68"/>
      <c r="J246" s="68"/>
      <c r="K246" s="68"/>
    </row>
    <row r="247" ht="15.75" customHeight="1">
      <c r="B247" s="68"/>
      <c r="C247" s="68"/>
      <c r="D247" s="68"/>
      <c r="E247" s="68"/>
      <c r="F247" s="68"/>
      <c r="G247" s="68"/>
      <c r="H247" s="68"/>
      <c r="I247" s="68"/>
      <c r="J247" s="68"/>
      <c r="K247" s="68"/>
    </row>
    <row r="248" ht="15.75" customHeight="1">
      <c r="B248" s="68"/>
      <c r="C248" s="68"/>
      <c r="D248" s="68"/>
      <c r="E248" s="68"/>
      <c r="F248" s="68"/>
      <c r="G248" s="68"/>
      <c r="H248" s="68"/>
      <c r="I248" s="68"/>
      <c r="J248" s="68"/>
      <c r="K248" s="68"/>
    </row>
    <row r="249" ht="15.75" customHeight="1">
      <c r="B249" s="17" t="s">
        <v>295</v>
      </c>
      <c r="C249" s="68"/>
      <c r="D249" s="68"/>
      <c r="E249" s="68"/>
      <c r="F249" s="68"/>
      <c r="G249" s="68"/>
      <c r="H249" s="68"/>
      <c r="I249" s="68"/>
      <c r="J249" s="68"/>
      <c r="K249" s="68"/>
    </row>
    <row r="250" ht="15.75" customHeight="1">
      <c r="B250" s="66" t="s">
        <v>239</v>
      </c>
      <c r="C250" s="66" t="s">
        <v>296</v>
      </c>
      <c r="D250" s="66" t="s">
        <v>297</v>
      </c>
      <c r="E250" s="66" t="s">
        <v>298</v>
      </c>
      <c r="F250" s="66" t="s">
        <v>299</v>
      </c>
      <c r="G250" s="66" t="s">
        <v>300</v>
      </c>
      <c r="H250" s="66" t="s">
        <v>301</v>
      </c>
      <c r="I250" s="66" t="s">
        <v>293</v>
      </c>
      <c r="J250" s="66" t="s">
        <v>294</v>
      </c>
      <c r="K250" s="68"/>
    </row>
    <row r="251" ht="15.75" customHeight="1">
      <c r="B251" s="68"/>
      <c r="C251" s="68"/>
      <c r="D251" s="68"/>
      <c r="E251" s="68"/>
      <c r="F251" s="68"/>
      <c r="G251" s="68"/>
      <c r="H251" s="68"/>
      <c r="I251" s="68"/>
      <c r="J251" s="68"/>
      <c r="K251" s="68"/>
    </row>
    <row r="252" ht="15.75" customHeight="1">
      <c r="B252" s="68"/>
      <c r="C252" s="68"/>
      <c r="D252" s="68"/>
      <c r="E252" s="68"/>
      <c r="F252" s="68"/>
      <c r="G252" s="68"/>
      <c r="H252" s="68"/>
      <c r="I252" s="68"/>
      <c r="J252" s="68"/>
      <c r="K252" s="68"/>
    </row>
    <row r="253" ht="15.75" customHeight="1">
      <c r="B253" s="68"/>
      <c r="C253" s="68"/>
      <c r="D253" s="68"/>
      <c r="E253" s="68"/>
      <c r="F253" s="68"/>
      <c r="G253" s="68"/>
      <c r="H253" s="68"/>
      <c r="I253" s="68"/>
      <c r="J253" s="68"/>
      <c r="K253" s="68"/>
    </row>
    <row r="254" ht="15.75" customHeight="1">
      <c r="B254" s="68"/>
      <c r="C254" s="68"/>
      <c r="D254" s="68"/>
      <c r="E254" s="68"/>
      <c r="F254" s="68"/>
      <c r="G254" s="68"/>
      <c r="H254" s="68"/>
      <c r="I254" s="68"/>
      <c r="J254" s="68"/>
      <c r="K254" s="68"/>
    </row>
    <row r="255" ht="15.75" customHeight="1">
      <c r="B255" s="68"/>
      <c r="C255" s="68"/>
      <c r="D255" s="68"/>
      <c r="E255" s="68"/>
      <c r="F255" s="68"/>
      <c r="G255" s="68"/>
      <c r="H255" s="68"/>
      <c r="I255" s="68"/>
      <c r="J255" s="68"/>
      <c r="K255" s="68"/>
    </row>
    <row r="256" ht="15.75" customHeight="1">
      <c r="B256" s="68"/>
      <c r="C256" s="68"/>
      <c r="D256" s="68"/>
      <c r="E256" s="68"/>
      <c r="F256" s="68"/>
      <c r="G256" s="68"/>
      <c r="H256" s="68"/>
      <c r="I256" s="68"/>
      <c r="J256" s="68"/>
      <c r="K256" s="68"/>
    </row>
    <row r="257" ht="15.75" customHeight="1">
      <c r="B257" s="68"/>
      <c r="C257" s="68"/>
      <c r="D257" s="68"/>
      <c r="E257" s="68"/>
      <c r="F257" s="68"/>
      <c r="G257" s="68"/>
      <c r="H257" s="68"/>
      <c r="I257" s="68"/>
      <c r="J257" s="68"/>
      <c r="K257" s="68"/>
    </row>
    <row r="258" ht="15.75" customHeight="1">
      <c r="B258" s="68"/>
      <c r="C258" s="68"/>
      <c r="D258" s="68"/>
      <c r="E258" s="68"/>
      <c r="F258" s="68"/>
      <c r="G258" s="68"/>
      <c r="H258" s="68"/>
      <c r="I258" s="68"/>
      <c r="J258" s="68"/>
      <c r="K258" s="68"/>
    </row>
    <row r="259" ht="15.75" customHeight="1">
      <c r="B259" s="68"/>
      <c r="C259" s="68"/>
      <c r="D259" s="68"/>
      <c r="E259" s="68"/>
      <c r="F259" s="68"/>
      <c r="G259" s="68"/>
      <c r="H259" s="68"/>
      <c r="I259" s="68"/>
      <c r="J259" s="68"/>
      <c r="K259" s="68"/>
    </row>
    <row r="260" ht="15.75" customHeight="1">
      <c r="B260" s="68"/>
      <c r="C260" s="68"/>
      <c r="D260" s="68"/>
      <c r="E260" s="68"/>
      <c r="F260" s="68"/>
      <c r="G260" s="68"/>
      <c r="H260" s="68"/>
      <c r="I260" s="68"/>
      <c r="J260" s="68"/>
      <c r="K260" s="68"/>
    </row>
    <row r="261" ht="15.75" customHeight="1">
      <c r="B261" s="68"/>
      <c r="C261" s="68"/>
      <c r="D261" s="68"/>
      <c r="E261" s="68"/>
      <c r="F261" s="68"/>
      <c r="G261" s="68"/>
      <c r="H261" s="68"/>
      <c r="I261" s="68"/>
      <c r="J261" s="68"/>
      <c r="K261" s="68"/>
    </row>
    <row r="262" ht="15.75" customHeight="1">
      <c r="B262" s="68"/>
      <c r="C262" s="68"/>
      <c r="D262" s="68"/>
      <c r="E262" s="68"/>
      <c r="F262" s="68"/>
      <c r="G262" s="68"/>
      <c r="H262" s="68"/>
      <c r="I262" s="68"/>
      <c r="J262" s="68"/>
      <c r="K262" s="68"/>
    </row>
    <row r="263" ht="15.75" customHeight="1">
      <c r="B263" s="68"/>
      <c r="C263" s="68"/>
      <c r="D263" s="68"/>
      <c r="E263" s="68"/>
      <c r="F263" s="68"/>
      <c r="G263" s="68"/>
      <c r="H263" s="68"/>
      <c r="I263" s="68"/>
      <c r="J263" s="68"/>
      <c r="K263" s="68"/>
    </row>
    <row r="264" ht="15.75" customHeight="1">
      <c r="B264" s="68"/>
      <c r="C264" s="68"/>
      <c r="D264" s="68"/>
      <c r="E264" s="68"/>
      <c r="F264" s="68"/>
      <c r="G264" s="68"/>
      <c r="H264" s="68"/>
      <c r="I264" s="68"/>
      <c r="J264" s="68"/>
      <c r="K264" s="68"/>
    </row>
    <row r="265" ht="15.75" customHeight="1">
      <c r="B265" s="68"/>
      <c r="C265" s="68"/>
      <c r="D265" s="68"/>
      <c r="E265" s="68"/>
      <c r="F265" s="68"/>
      <c r="G265" s="68"/>
      <c r="H265" s="68"/>
      <c r="I265" s="68"/>
      <c r="J265" s="68"/>
      <c r="K265" s="68"/>
    </row>
    <row r="266" ht="15.75" customHeight="1">
      <c r="B266" s="68"/>
      <c r="C266" s="68"/>
      <c r="D266" s="68"/>
      <c r="E266" s="68"/>
      <c r="F266" s="68"/>
      <c r="G266" s="68"/>
      <c r="H266" s="68"/>
      <c r="I266" s="68"/>
      <c r="J266" s="68"/>
      <c r="K266" s="68"/>
    </row>
    <row r="267" ht="15.75" customHeight="1">
      <c r="B267" s="68"/>
      <c r="C267" s="68"/>
      <c r="D267" s="68"/>
      <c r="E267" s="68"/>
      <c r="F267" s="68"/>
      <c r="G267" s="68"/>
      <c r="H267" s="68"/>
      <c r="I267" s="68"/>
      <c r="J267" s="68"/>
      <c r="K267" s="68"/>
    </row>
    <row r="268" ht="15.75" customHeight="1">
      <c r="B268" s="68"/>
      <c r="C268" s="68"/>
      <c r="D268" s="68"/>
      <c r="E268" s="68"/>
      <c r="F268" s="68"/>
      <c r="G268" s="68"/>
      <c r="H268" s="68"/>
      <c r="I268" s="68"/>
      <c r="J268" s="68"/>
      <c r="K268" s="68"/>
    </row>
    <row r="269" ht="15.75" customHeight="1">
      <c r="B269" s="68"/>
      <c r="C269" s="68"/>
      <c r="D269" s="68"/>
      <c r="E269" s="68"/>
      <c r="F269" s="68"/>
      <c r="G269" s="68"/>
      <c r="H269" s="68"/>
      <c r="I269" s="68"/>
      <c r="J269" s="68"/>
      <c r="K269" s="68"/>
    </row>
    <row r="270" ht="15.75" customHeight="1">
      <c r="B270" s="68"/>
      <c r="C270" s="68"/>
      <c r="D270" s="68"/>
      <c r="E270" s="68"/>
      <c r="F270" s="68"/>
      <c r="G270" s="68"/>
      <c r="H270" s="68"/>
      <c r="I270" s="68"/>
      <c r="J270" s="68"/>
      <c r="K270" s="68"/>
    </row>
    <row r="271" ht="15.75" customHeight="1">
      <c r="B271" s="68"/>
      <c r="C271" s="68"/>
      <c r="D271" s="68"/>
      <c r="E271" s="68"/>
      <c r="F271" s="68"/>
      <c r="G271" s="68"/>
      <c r="H271" s="68"/>
      <c r="I271" s="68"/>
      <c r="J271" s="68"/>
      <c r="K271" s="68"/>
    </row>
    <row r="272" ht="15.75" customHeight="1">
      <c r="B272" s="68"/>
      <c r="C272" s="68"/>
      <c r="D272" s="68"/>
      <c r="E272" s="68"/>
      <c r="F272" s="68"/>
      <c r="G272" s="68"/>
      <c r="H272" s="68"/>
      <c r="I272" s="68"/>
      <c r="J272" s="68"/>
      <c r="K272" s="68"/>
    </row>
    <row r="273" ht="15.75" customHeight="1">
      <c r="B273" s="68"/>
      <c r="C273" s="68"/>
      <c r="D273" s="68"/>
      <c r="E273" s="68"/>
      <c r="F273" s="68"/>
      <c r="G273" s="68"/>
      <c r="H273" s="68"/>
      <c r="I273" s="68"/>
      <c r="J273" s="68"/>
      <c r="K273" s="68"/>
    </row>
    <row r="274" ht="15.75" customHeight="1">
      <c r="B274" s="68"/>
      <c r="C274" s="68"/>
      <c r="D274" s="68"/>
      <c r="E274" s="68"/>
      <c r="F274" s="68"/>
      <c r="G274" s="68"/>
      <c r="H274" s="68"/>
      <c r="I274" s="68"/>
      <c r="J274" s="68"/>
      <c r="K274" s="68"/>
    </row>
    <row r="275" ht="15.75" customHeight="1">
      <c r="B275" s="68"/>
      <c r="C275" s="68"/>
      <c r="D275" s="68"/>
      <c r="E275" s="68"/>
      <c r="F275" s="68"/>
      <c r="G275" s="68"/>
      <c r="H275" s="68"/>
      <c r="I275" s="68"/>
      <c r="J275" s="68"/>
      <c r="K275" s="68"/>
    </row>
    <row r="276" ht="15.75" customHeight="1">
      <c r="B276" s="68"/>
      <c r="C276" s="68"/>
      <c r="D276" s="68"/>
      <c r="E276" s="68"/>
      <c r="F276" s="68"/>
      <c r="G276" s="68"/>
      <c r="H276" s="68"/>
      <c r="I276" s="68"/>
      <c r="J276" s="68"/>
      <c r="K276" s="68"/>
    </row>
    <row r="277" ht="15.75" customHeight="1">
      <c r="B277" s="68"/>
      <c r="C277" s="68"/>
      <c r="D277" s="68"/>
      <c r="E277" s="68"/>
      <c r="F277" s="68"/>
      <c r="G277" s="68"/>
      <c r="H277" s="68"/>
      <c r="I277" s="68"/>
      <c r="J277" s="68"/>
      <c r="K277" s="68"/>
    </row>
    <row r="278" ht="15.75" customHeight="1">
      <c r="B278" s="68"/>
      <c r="C278" s="68"/>
      <c r="D278" s="68"/>
      <c r="E278" s="68"/>
      <c r="F278" s="68"/>
      <c r="G278" s="68"/>
      <c r="H278" s="68"/>
      <c r="I278" s="68"/>
      <c r="J278" s="68"/>
      <c r="K278" s="68"/>
    </row>
    <row r="279" ht="15.75" customHeight="1">
      <c r="B279" s="68"/>
      <c r="C279" s="68"/>
      <c r="D279" s="68"/>
      <c r="E279" s="68"/>
      <c r="F279" s="68"/>
      <c r="G279" s="68"/>
      <c r="H279" s="68"/>
      <c r="I279" s="68"/>
      <c r="J279" s="68"/>
      <c r="K279" s="68"/>
    </row>
    <row r="280" ht="15.75" customHeight="1">
      <c r="B280" s="68"/>
      <c r="C280" s="68"/>
      <c r="D280" s="68"/>
      <c r="E280" s="68"/>
      <c r="F280" s="68"/>
      <c r="G280" s="68"/>
      <c r="H280" s="68"/>
      <c r="I280" s="68"/>
      <c r="J280" s="68"/>
      <c r="K280" s="68"/>
    </row>
    <row r="281" ht="15.75" customHeight="1">
      <c r="B281" s="68"/>
      <c r="C281" s="68"/>
      <c r="D281" s="68"/>
      <c r="E281" s="68"/>
      <c r="F281" s="68"/>
      <c r="G281" s="68"/>
      <c r="H281" s="68"/>
      <c r="I281" s="68"/>
      <c r="J281" s="68"/>
      <c r="K281" s="68"/>
    </row>
    <row r="282" ht="15.75" customHeight="1">
      <c r="B282" s="68"/>
      <c r="C282" s="68"/>
      <c r="D282" s="68"/>
      <c r="E282" s="68"/>
      <c r="F282" s="68"/>
      <c r="G282" s="68"/>
      <c r="H282" s="68"/>
      <c r="I282" s="68"/>
      <c r="J282" s="68"/>
      <c r="K282" s="68"/>
    </row>
    <row r="283" ht="15.75" customHeight="1">
      <c r="B283" s="68"/>
      <c r="C283" s="68"/>
      <c r="D283" s="68"/>
      <c r="E283" s="68"/>
      <c r="F283" s="68"/>
      <c r="G283" s="68"/>
      <c r="H283" s="68"/>
      <c r="I283" s="68"/>
      <c r="J283" s="68"/>
      <c r="K283" s="68"/>
    </row>
    <row r="284" ht="15.75" customHeight="1">
      <c r="B284" s="68"/>
      <c r="C284" s="68"/>
      <c r="D284" s="68"/>
      <c r="E284" s="68"/>
      <c r="F284" s="68"/>
      <c r="G284" s="68"/>
      <c r="H284" s="68"/>
      <c r="I284" s="68"/>
      <c r="J284" s="68"/>
      <c r="K284" s="68"/>
    </row>
    <row r="285" ht="15.75" customHeight="1">
      <c r="B285" s="68"/>
      <c r="C285" s="68"/>
      <c r="D285" s="68"/>
      <c r="E285" s="68"/>
      <c r="F285" s="68"/>
      <c r="G285" s="68"/>
      <c r="H285" s="68"/>
      <c r="I285" s="68"/>
      <c r="J285" s="68"/>
      <c r="K285" s="68"/>
    </row>
    <row r="286" ht="15.75" customHeight="1">
      <c r="B286" s="68"/>
      <c r="C286" s="68"/>
      <c r="D286" s="68"/>
      <c r="E286" s="68"/>
      <c r="F286" s="68"/>
      <c r="G286" s="68"/>
      <c r="H286" s="68"/>
      <c r="I286" s="68"/>
      <c r="J286" s="68"/>
      <c r="K286" s="68"/>
    </row>
    <row r="287" ht="15.75" customHeight="1">
      <c r="B287" s="68"/>
      <c r="C287" s="68"/>
      <c r="D287" s="68"/>
      <c r="E287" s="68"/>
      <c r="F287" s="68"/>
      <c r="G287" s="68"/>
      <c r="H287" s="68"/>
      <c r="I287" s="68"/>
      <c r="J287" s="68"/>
      <c r="K287" s="68"/>
    </row>
    <row r="288" ht="15.75" customHeight="1">
      <c r="B288" s="68"/>
      <c r="C288" s="68"/>
      <c r="D288" s="68"/>
      <c r="E288" s="68"/>
      <c r="F288" s="68"/>
      <c r="G288" s="68"/>
      <c r="H288" s="68"/>
      <c r="I288" s="68"/>
      <c r="J288" s="68"/>
      <c r="K288" s="68"/>
    </row>
    <row r="289" ht="15.75" customHeight="1">
      <c r="B289" s="68"/>
      <c r="C289" s="68"/>
      <c r="D289" s="68"/>
      <c r="E289" s="68"/>
      <c r="F289" s="68"/>
      <c r="G289" s="68"/>
      <c r="H289" s="68"/>
      <c r="I289" s="68"/>
      <c r="J289" s="68"/>
      <c r="K289" s="68"/>
    </row>
    <row r="290" ht="15.75" customHeight="1">
      <c r="B290" s="68"/>
      <c r="C290" s="68"/>
      <c r="D290" s="68"/>
      <c r="E290" s="68"/>
      <c r="F290" s="68"/>
      <c r="G290" s="68"/>
      <c r="H290" s="68"/>
      <c r="I290" s="68"/>
      <c r="J290" s="68"/>
      <c r="K290" s="68"/>
    </row>
    <row r="291" ht="15.75" customHeight="1">
      <c r="B291" s="68"/>
      <c r="C291" s="68"/>
      <c r="D291" s="68"/>
      <c r="E291" s="68"/>
      <c r="F291" s="68"/>
      <c r="G291" s="68"/>
      <c r="H291" s="68"/>
      <c r="I291" s="68"/>
      <c r="J291" s="68"/>
      <c r="K291" s="68"/>
    </row>
    <row r="292" ht="15.75" customHeight="1">
      <c r="B292" s="68"/>
      <c r="C292" s="68"/>
      <c r="D292" s="68"/>
      <c r="E292" s="68"/>
      <c r="F292" s="68"/>
      <c r="G292" s="68"/>
      <c r="H292" s="68"/>
      <c r="I292" s="68"/>
      <c r="J292" s="68"/>
      <c r="K292" s="68"/>
    </row>
    <row r="293" ht="15.75" customHeight="1">
      <c r="B293" s="68"/>
      <c r="C293" s="68"/>
      <c r="D293" s="68"/>
      <c r="E293" s="68"/>
      <c r="F293" s="68"/>
      <c r="G293" s="68"/>
      <c r="H293" s="68"/>
      <c r="I293" s="68"/>
      <c r="J293" s="68"/>
      <c r="K293" s="68"/>
    </row>
    <row r="294" ht="15.75" customHeight="1">
      <c r="B294" s="68"/>
      <c r="C294" s="68"/>
      <c r="D294" s="68"/>
      <c r="E294" s="68"/>
      <c r="F294" s="68"/>
      <c r="G294" s="68"/>
      <c r="H294" s="68"/>
      <c r="I294" s="68"/>
      <c r="J294" s="68"/>
      <c r="K294" s="68"/>
    </row>
    <row r="295" ht="15.75" customHeight="1">
      <c r="B295" s="68"/>
      <c r="C295" s="68"/>
      <c r="D295" s="68"/>
      <c r="E295" s="68"/>
      <c r="F295" s="68"/>
      <c r="G295" s="68"/>
      <c r="H295" s="68"/>
      <c r="I295" s="68"/>
      <c r="J295" s="68"/>
      <c r="K295" s="68"/>
    </row>
    <row r="296" ht="15.75" customHeight="1">
      <c r="B296" s="68"/>
      <c r="C296" s="68"/>
      <c r="D296" s="68"/>
      <c r="E296" s="68"/>
      <c r="F296" s="68"/>
      <c r="G296" s="68"/>
      <c r="H296" s="68"/>
      <c r="I296" s="68"/>
      <c r="J296" s="68"/>
      <c r="K296" s="68"/>
    </row>
    <row r="297" ht="15.75" customHeight="1">
      <c r="B297" s="68"/>
      <c r="C297" s="68"/>
      <c r="D297" s="68"/>
      <c r="E297" s="68"/>
      <c r="F297" s="68"/>
      <c r="G297" s="68"/>
      <c r="H297" s="68"/>
      <c r="I297" s="68"/>
      <c r="J297" s="68"/>
      <c r="K297" s="68"/>
    </row>
    <row r="298" ht="15.75" customHeight="1">
      <c r="B298" s="68"/>
      <c r="C298" s="68"/>
      <c r="D298" s="68"/>
      <c r="E298" s="68"/>
      <c r="F298" s="68"/>
      <c r="G298" s="68"/>
      <c r="H298" s="68"/>
      <c r="I298" s="68"/>
      <c r="J298" s="68"/>
      <c r="K298" s="68"/>
    </row>
    <row r="299" ht="15.75" customHeight="1">
      <c r="B299" s="68"/>
      <c r="C299" s="68"/>
      <c r="D299" s="68"/>
      <c r="E299" s="68"/>
      <c r="F299" s="68"/>
      <c r="G299" s="68"/>
      <c r="H299" s="68"/>
      <c r="I299" s="68"/>
      <c r="J299" s="68"/>
      <c r="K299" s="68"/>
    </row>
    <row r="300" ht="15.75" customHeight="1">
      <c r="B300" s="68"/>
      <c r="C300" s="68"/>
      <c r="D300" s="68"/>
      <c r="E300" s="68"/>
      <c r="F300" s="68"/>
      <c r="G300" s="68"/>
      <c r="H300" s="68"/>
      <c r="I300" s="68"/>
      <c r="J300" s="68"/>
      <c r="K300" s="68"/>
    </row>
    <row r="301" ht="15.75" customHeight="1">
      <c r="K301" s="68"/>
    </row>
    <row r="302" ht="15.75" customHeight="1">
      <c r="K302" s="68"/>
    </row>
    <row r="303" ht="15.75" customHeight="1">
      <c r="B303" s="7" t="s">
        <v>302</v>
      </c>
      <c r="C303" s="8"/>
      <c r="D303" s="8"/>
      <c r="E303" s="8"/>
      <c r="F303" s="8"/>
      <c r="G303" s="8"/>
      <c r="H303" s="8"/>
      <c r="I303" s="8"/>
      <c r="J303" s="9"/>
      <c r="K303" s="68"/>
    </row>
    <row r="304" ht="15.75" customHeight="1">
      <c r="B304" s="69"/>
      <c r="C304" s="70"/>
      <c r="D304" s="70"/>
      <c r="E304" s="70"/>
      <c r="F304" s="70"/>
      <c r="G304" s="70"/>
      <c r="H304" s="70"/>
      <c r="I304" s="70"/>
      <c r="J304" s="71"/>
      <c r="K304" s="68"/>
    </row>
    <row r="305" ht="15.75" customHeight="1">
      <c r="B305" s="72"/>
      <c r="J305" s="73"/>
      <c r="K305" s="68"/>
    </row>
    <row r="306" ht="15.75" customHeight="1">
      <c r="B306" s="72"/>
      <c r="J306" s="73"/>
      <c r="K306" s="68"/>
    </row>
    <row r="307" ht="15.75" customHeight="1">
      <c r="B307" s="72"/>
      <c r="J307" s="73"/>
      <c r="K307" s="68"/>
    </row>
    <row r="308" ht="15.75" customHeight="1">
      <c r="B308" s="72"/>
      <c r="J308" s="73"/>
      <c r="K308" s="68"/>
    </row>
    <row r="309" ht="15.75" customHeight="1">
      <c r="B309" s="72"/>
      <c r="J309" s="73"/>
      <c r="K309" s="68"/>
    </row>
    <row r="310" ht="15.75" customHeight="1">
      <c r="B310" s="72"/>
      <c r="J310" s="73"/>
      <c r="K310" s="68"/>
    </row>
    <row r="311" ht="15.75" customHeight="1">
      <c r="B311" s="74"/>
      <c r="C311" s="75"/>
      <c r="D311" s="75"/>
      <c r="E311" s="75"/>
      <c r="F311" s="75"/>
      <c r="G311" s="75"/>
      <c r="H311" s="75"/>
      <c r="I311" s="75"/>
      <c r="J311" s="76"/>
      <c r="K311" s="68"/>
    </row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B$16:$J$216"/>
  <mergeCells count="8">
    <mergeCell ref="B2:J2"/>
    <mergeCell ref="B3:J3"/>
    <mergeCell ref="B5:J5"/>
    <mergeCell ref="C13:J13"/>
    <mergeCell ref="B15:J15"/>
    <mergeCell ref="B219:J219"/>
    <mergeCell ref="B303:J303"/>
    <mergeCell ref="B304:J311"/>
  </mergeCells>
  <dataValidations>
    <dataValidation type="list" allowBlank="1" sqref="I221:I300">
      <formula1>"low,medium,high"</formula1>
    </dataValidation>
    <dataValidation type="list" allowBlank="1" sqref="E17:E216">
      <formula1>"FETCH,WRITE,CALC,READ,VALIDATE,EXPORT"</formula1>
    </dataValidation>
    <dataValidation type="list" allowBlank="1" sqref="D17:D216">
      <formula1>"data,normalize,assumptions,model,checks,publish"</formula1>
    </dataValidation>
    <dataValidation type="list" allowBlank="1" sqref="E6">
      <formula1>"NEW,RUNNING,SUCCESS,FAILED"</formula1>
    </dataValidation>
  </dataValidations>
  <printOptions/>
  <pageMargins bottom="1.0" footer="0.0" header="0.0" left="0.75" right="0.75" top="1.0"/>
  <pageSetup orientation="landscape"/>
  <drawing r:id="rId1"/>
</worksheet>
</file>