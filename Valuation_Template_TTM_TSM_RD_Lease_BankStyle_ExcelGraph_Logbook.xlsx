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ns1:id="rId1"/>
    <sheet name="Inputs" sheetId="2" state="visible" ns1:id="rId2"/>
    <sheet name="Dilution (TSM)" sheetId="3" state="visible" ns1:id="rId3"/>
    <sheet name="R&amp;D Capitalization" sheetId="4" state="visible" ns1:id="rId4"/>
    <sheet name="Lease Capitalization" sheetId="5" state="visible" ns1:id="rId5"/>
    <sheet name="DCF" sheetId="6" state="visible" ns1:id="rId6"/>
    <sheet name="Sensitivity" sheetId="7" state="visible" ns1:id="rId7"/>
    <sheet name="Comps" sheetId="8" state="visible" ns1:id="rId8"/>
    <sheet name="Checks" sheetId="9" state="visible" ns1:id="rId9"/>
    <sheet name="Sources" sheetId="10" state="visible" ns1:id="rId10"/>
    <sheet name="Story" sheetId="11" state="visible" ns1:id="rId11"/>
    <sheet name="Output" sheetId="12" state="visible" ns1:id="rId12"/>
    <sheet name="Agent Log" sheetId="13" state="visible" ns1:id="rId13"/>
  </sheets>
  <definedNames>
    <definedName name="inp_ticker">'Inputs'!C4</definedName>
    <definedName name="inp_name">'Inputs'!E4</definedName>
    <definedName name="inp_rev_ttm">'Inputs'!C9</definedName>
    <definedName name="inp_ebit_ttm">'Inputs'!C10</definedName>
    <definedName name="inp_tax_ttm">'Inputs'!C11</definedName>
    <definedName name="inp_da_ttm">'Inputs'!C12</definedName>
    <definedName name="inp_capex_ttm">'Inputs'!C13</definedName>
    <definedName name="inp_dNWC_ttm">'Inputs'!C14</definedName>
    <definedName name="inp_rd_ttm">'Inputs'!C15</definedName>
    <definedName name="inp_rent_ttm">'Inputs'!C16</definedName>
    <definedName name="inp_g1">'Inputs'!C20</definedName>
    <definedName name="inp_g2">'Inputs'!C21</definedName>
    <definedName name="inp_g3">'Inputs'!C22</definedName>
    <definedName name="inp_g4">'Inputs'!C23</definedName>
    <definedName name="inp_g5">'Inputs'!C24</definedName>
    <definedName name="inp_m5">'Inputs'!C25</definedName>
    <definedName name="inp_m10">'Inputs'!C26</definedName>
    <definedName name="inp_tax_norm">'Inputs'!C27</definedName>
    <definedName name="inp_da_pct">'Inputs'!C28</definedName>
    <definedName name="inp_capex_pct">'Inputs'!C29</definedName>
    <definedName name="inp_nwc_pct">'Inputs'!C30</definedName>
    <definedName name="inp_rd_pct">'Inputs'!C31</definedName>
    <definedName name="inp_rent_pct">'Inputs'!C32</definedName>
    <definedName name="inp_rf">'Inputs'!C37</definedName>
    <definedName name="inp_erp">'Inputs'!C38</definedName>
    <definedName name="inp_beta">'Inputs'!C39</definedName>
    <definedName name="calc_ke">'Inputs'!C40</definedName>
    <definedName name="inp_kd">'Inputs'!C41</definedName>
    <definedName name="inp_dw">'Inputs'!C42</definedName>
    <definedName name="calc_wacc">'Inputs'!C43</definedName>
    <definedName name="inp_gt">'Inputs'!C44</definedName>
    <definedName name="inp_cash">'Inputs'!C49</definedName>
    <definedName name="inp_debt">'Inputs'!C50</definedName>
    <definedName name="calc_lease_debt">'Inputs'!C51</definedName>
    <definedName name="inp_other_adj">'Inputs'!C52</definedName>
    <definedName name="inp_basic_shares">'Inputs'!C53</definedName>
    <definedName name="inp_px">'Inputs'!C54</definedName>
    <definedName name="calc_diluted_shares">'Inputs'!C55</definedName>
    <definedName name="inp_cap_rd_toggle">'Inputs'!C58</definedName>
    <definedName name="inp_cap_lease_toggle">'Inputs'!C59</definedName>
    <definedName name="log_run_id">'Agent Log'!$C$6</definedName>
    <definedName name="log_status">'Agent Log'!$E$6</definedName>
    <definedName name="log_start_ts">'Agent Log'!$C$7</definedName>
    <definedName name="log_end_ts">'Agent Log'!$E$7</definedName>
    <definedName name="log_template_version">'Agent Log'!$C$9</definedName>
    <definedName name="log_agent_version">'Agent Log'!$E$9</definedName>
    <definedName name="log_model">'Agent Log'!$C$10</definedName>
    <definedName name="log_engine">'Agent Log'!$E$10</definedName>
    <definedName name="log_data_sources">'Agent Log'!$C$11</definedName>
    <definedName name="log_currency_units">'Agent Log'!$E$11</definedName>
    <definedName name="log_tokens">'Agent Log'!$C$12</definedName>
    <definedName name="log_cost_usd">'Agent Log'!$E$12</definedName>
    <definedName name="log_actions_header">'Agent Log'!$B$16:$J$16</definedName>
    <definedName name="log_actions_firstrow">'Agent Log'!$B$17:$J$17</definedName>
    <definedName name="log_assumptions_header">'Agent Log'!$B$220:$K$220</definedName>
    <definedName name="log_assumptions_firstrow">'Agent Log'!$B$221:$K$221</definedName>
    <definedName name="out_run_id">'Output'!$C$5</definedName>
    <definedName name="out_value_per_share">'Output'!$C$6</definedName>
    <definedName name="out_equity_value">'Output'!$C$7</definedName>
    <definedName name="out_enterprise_value">'Output'!$C$8</definedName>
    <definedName name="out_wacc">'Output'!$C$9</definedName>
    <definedName name="out_terminal_g">'Output'!$C$10</definedName>
    <definedName name="out_diluted_shares">'Output'!$C$14</definedName>
    <definedName name="_xlnm._FilterDatabase" localSheetId="12" hidden="1">'Agent Log'!$B$16:$J$216</definedName>
    <definedName name="IN_Ticker">'Inputs'!C4</definedName>
    <definedName name="IN_Price">'Inputs'!C54</definedName>
    <definedName name="IN_RiskFreeRate">'Inputs'!C37</definedName>
    <definedName name="IN_ERP">'Inputs'!C38</definedName>
    <definedName name="IN_Beta">'Inputs'!C39</definedName>
    <definedName name="IN_TerminalGrowth">'Inputs'!C44</definedName>
    <definedName name="IN_TaxRate">'Inputs'!C27</definedName>
    <definedName name="OUT_WACC">'Output'!$C$9</definedName>
    <definedName name="OUT_EquityValue">'Output'!$C$7</definedName>
    <definedName name="OUT_ValuePerShare">'Output'!$C$6</definedName>
    <definedName name="OUT_EnterpriseValue">'Output'!$C$8</definedName>
    <definedName name="OUT_TerminalValue">'DCF'!$C$33</definedName>
    <definedName name="LOG_Entries">'Agent Log'!$B$16:$J$216</definedName>
    <definedName name="inp_w_pess">'Inputs'!G63</definedName>
    <definedName name="inp_w_base">'Inputs'!H63</definedName>
    <definedName name="inp_w_opt">'Inputs'!I63</definedName>
    <definedName name="inp_pess_g1">'Inputs'!G20</definedName>
    <definedName name="inp_pess_g2">'Inputs'!G21</definedName>
    <definedName name="inp_pess_g3">'Inputs'!G22</definedName>
    <definedName name="inp_pess_g4">'Inputs'!G23</definedName>
    <definedName name="inp_pess_g5">'Inputs'!G24</definedName>
    <definedName name="inp_pess_m5">'Inputs'!G25</definedName>
    <definedName name="inp_pess_m10">'Inputs'!G26</definedName>
    <definedName name="inp_pess_tax">'Inputs'!G27</definedName>
    <definedName name="inp_pess_wacc">'Inputs'!G43</definedName>
    <definedName name="inp_pess_gt">'Inputs'!G44</definedName>
    <definedName name="inp_base_g1">'Inputs'!C20</definedName>
    <definedName name="inp_base_g2">'Inputs'!C21</definedName>
    <definedName name="inp_base_g3">'Inputs'!C22</definedName>
    <definedName name="inp_base_g4">'Inputs'!C23</definedName>
    <definedName name="inp_base_g5">'Inputs'!C24</definedName>
    <definedName name="inp_base_m5">'Inputs'!C25</definedName>
    <definedName name="inp_base_m10">'Inputs'!C26</definedName>
    <definedName name="inp_base_tax">'Inputs'!C27</definedName>
    <definedName name="inp_base_wacc">'Inputs'!C43</definedName>
    <definedName name="inp_base_gt">'Inputs'!C44</definedName>
    <definedName name="inp_opt_g1">'Inputs'!I20</definedName>
    <definedName name="inp_opt_g2">'Inputs'!I21</definedName>
    <definedName name="inp_opt_g3">'Inputs'!I22</definedName>
    <definedName name="inp_opt_g4">'Inputs'!I23</definedName>
    <definedName name="inp_opt_g5">'Inputs'!I24</definedName>
    <definedName name="inp_opt_m5">'Inputs'!I25</definedName>
    <definedName name="inp_opt_m10">'Inputs'!I26</definedName>
    <definedName name="inp_opt_tax">'Inputs'!I27</definedName>
    <definedName name="inp_opt_wacc">'Inputs'!I43</definedName>
    <definedName name="inp_opt_gt">'Inputs'!I44</definedName>
    <definedName name="out_value_ps_pess">'Output'!$C$15</definedName>
    <definedName name="out_value_ps_base">'Output'!$C$16</definedName>
    <definedName name="out_value_ps_opt">'Output'!$C$17</definedName>
    <definedName name="out_value_ps_weighted">'Output'!$C$6</definedName>
    <definedName name="out_equity_value_weighted">'Output'!$C$7</definedName>
    <definedName name="out_enterprise_value_weighted">'Output'!$C$8</definedName>
    <definedName name="out_wacc_pess">'Inputs'!G43</definedName>
    <definedName name="out_wacc_base">'Inputs'!C43</definedName>
    <definedName name="out_wacc_opt">'Inputs'!I43</definedName>
    <definedName name="out_terminal_g_pess">'Inputs'!G44</definedName>
    <definedName name="out_terminal_g_base">'Inputs'!C44</definedName>
    <definedName name="out_terminal_g_opt">'Inputs'!I44</definedName>
    <definedName name="log_story_header">'Agent Log'!$B$250:$J$250</definedName>
    <definedName name="log_story_firstrow">'Agent Log'!$B$251:$J$251</definedName>
    <definedName name="tsm_tranche_header">'Dilution (TSM)'!$B$8:$G$8</definedName>
    <definedName name="tsm_tranche_table">'Dilution (TSM)'!$B$9:$G$20</definedName>
    <definedName name="inp_tsm_tranche1_count_mm">'Dilution (TSM)'!$C$9</definedName>
    <definedName name="inp_tsm_tranche1_strike">'Dilution (TSM)'!$D$9</definedName>
    <definedName name="inp_tsm_tranche1_type">'Dilution (TSM)'!$E$9</definedName>
    <definedName name="inp_tsm_tranche1_note">'Dilution (TSM)'!$G$9</definedName>
    <definedName name="out_tsm_incremental_shares">'Dilution (TSM)'!$C$24</definedName>
    <definedName name="out_tsm_diluted_shares">'Dilution (TSM)'!$C$25</definedName>
    <definedName name="sens_base_value_ps">'Sensitivity'!$C$4</definedName>
    <definedName name="sens_grid_header">'Sensitivity'!$B$6:$G$6</definedName>
    <definedName name="sens_wacc_vector">'Sensitivity'!$B$7:$B$11</definedName>
    <definedName name="sens_terminal_g_vector">'Sensitivity'!$C$6:$G$6</definedName>
    <definedName name="sens_grid_values">'Sensitivity'!$C$7:$G$11</definedName>
    <definedName name="sens_grid_full">'Sensitivity'!$B$6:$G$11</definedName>
    <definedName name="comps_target_rev_ttm">'Comps'!$C$4</definedName>
    <definedName name="comps_target_ebit_ttm">'Comps'!$C$5</definedName>
    <definedName name="comps_header">'Comps'!$B$7:$G$7</definedName>
    <definedName name="comps_table">'Comps'!$B$8:$G$40</definedName>
    <definedName name="comps_peer_tickers">'Comps'!$B$8:$B$40</definedName>
    <definedName name="comps_peer_names">'Comps'!$C$8:$C$40</definedName>
    <definedName name="comps_ev_ebit">'Comps'!$D$8:$D$40</definedName>
    <definedName name="comps_ev_sales">'Comps'!$E$8:$E$40</definedName>
    <definedName name="comps_pe">'Comps'!$F$8:$F$40</definedName>
    <definedName name="comps_notes">'Comps'!$G$8:$G$40</definedName>
    <definedName name="story_thesis">'Story'!$C$4:$G$6</definedName>
    <definedName name="story_growth">'Story'!$C$7:$G$9</definedName>
    <definedName name="story_profitability">'Story'!$C$10:$G$12</definedName>
    <definedName name="story_reinvestment">'Story'!$C$13:$G$15</definedName>
    <definedName name="story_risk">'Story'!$C$16:$G$18</definedName>
    <definedName name="story_sanity_checks">'Story'!$C$19:$G$21</definedName>
    <definedName name="story_grid_header">'Story'!$B$23:$G$23</definedName>
    <definedName name="story_grid_rows">'Story'!$B$24:$G$26</definedName>
    <definedName name="story_grid_citations">'Story'!$G$24:$G$26</definedName>
    <definedName name="story_memo_hooks">'Story'!$C$28:$G$30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12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color rgb="00666666"/>
      <sz val="9"/>
    </font>
    <font>
      <name val="Calibri"/>
      <i val="1"/>
      <color rgb="00C00000"/>
      <sz val="9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0F1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8" fillId="0" borderId="0" pivotButton="0" quotePrefix="0" xfId="0"/>
    <xf numFmtId="10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6" fillId="0" borderId="1" pivotButton="0" quotePrefix="0" xfId="0"/>
    <xf numFmtId="165" fontId="10" fillId="5" borderId="1" pivotButton="0" quotePrefix="0" xfId="0"/>
    <xf numFmtId="0" fontId="0" fillId="0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10" fillId="5" borderId="1" pivotButton="0" quotePrefix="0" xfId="0"/>
    <xf numFmtId="1" fontId="5" fillId="4" borderId="1" pivotButton="0" quotePrefix="0" xfId="0"/>
    <xf numFmtId="0" fontId="8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11" fillId="0" borderId="1" pivotButton="0" quotePrefix="0" xfId="0"/>
    <xf numFmtId="0" fontId="11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2" fontId="10" fillId="5" borderId="1" pivotButton="0" quotePrefix="0" xfId="0"/>
    <xf numFmtId="0" fontId="9" fillId="6" borderId="1" pivotButton="0" quotePrefix="0" xfId="0"/>
    <xf numFmtId="164" fontId="9" fillId="6" borderId="1" applyAlignment="1" pivotButton="0" quotePrefix="0" xfId="0">
      <alignment horizontal="center" vertical="center"/>
    </xf>
    <xf numFmtId="3" fontId="6" fillId="5" borderId="1" pivotButton="0" quotePrefix="0" xfId="0"/>
    <xf numFmtId="0" fontId="6" fillId="0" borderId="0" pivotButton="0" quotePrefix="0" xfId="0"/>
    <xf numFmtId="0" fontId="5" fillId="4" borderId="1" applyAlignment="1" pivotButton="0" quotePrefix="0" xfId="0">
      <alignment horizontal="left" vertical="top" wrapText="1"/>
    </xf>
    <xf numFmtId="3" fontId="10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3" fontId="5" fillId="4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0" customWidth="1" min="3" max="3"/>
  </cols>
  <sheetData>
    <row r="2">
      <c r="B2" s="1" t="inlineStr">
        <is>
          <t>Bank‑Style Valuation Template (TTM + Treasury Stock Method + R&amp;D + Operating Leases)</t>
        </is>
      </c>
    </row>
    <row r="4">
      <c r="B4" s="2" t="inlineStr">
        <is>
          <t>As-of: 2026-02-14  |  Version: v3 (Sheets + Logbook)</t>
        </is>
      </c>
    </row>
    <row r="6">
      <c r="B6" s="3" t="inlineStr">
        <is>
          <t>Workflow</t>
        </is>
      </c>
    </row>
    <row r="7">
      <c r="B7" t="inlineStr" s="7">
        <is>
          <t>1) Fill Inputs (TTM + neutral assumptions in column C).</t>
        </is>
      </c>
    </row>
    <row r="8">
      <c r="B8" t="inlineStr" s="7">
        <is>
          <t>2) Review scenario overrides in Inputs columns G/H/I and set scenario weights (G63:I63).</t>
        </is>
      </c>
    </row>
    <row r="9">
      <c r="B9" t="inlineStr" s="7">
        <is>
          <t>3) Populate Dilution (TSM); optionally populate R&amp;D and Lease modules.</t>
        </is>
      </c>
    </row>
    <row r="10">
      <c r="B10" t="inlineStr" s="7">
        <is>
          <t>4) Confirm Checks has no FAIL and Output weighted fields are populated.</t>
        </is>
      </c>
    </row>
    <row r="11">
      <c r="B11" t="inlineStr" s="7">
        <is>
          <t>5) Generate memo from weighted + scenario outputs; log rationale in Agent Log.</t>
        </is>
      </c>
    </row>
    <row r="12">
      <c r="B12" s="3" t="inlineStr">
        <is>
          <t>Legend</t>
        </is>
      </c>
    </row>
    <row r="13">
      <c r="B13" t="inlineStr">
        <is>
          <t>Blue text + yellow fill = editable input</t>
        </is>
      </c>
    </row>
    <row r="14">
      <c r="B14" t="inlineStr">
        <is>
          <t>Red italic text = guidance / guardrails</t>
        </is>
      </c>
    </row>
    <row r="15">
      <c r="B15" t="inlineStr">
        <is>
          <t>Light blue fill = key outputs</t>
        </is>
      </c>
    </row>
    <row r="17">
      <c r="B17" s="3" t="inlineStr">
        <is>
          <t>Agent contract</t>
        </is>
      </c>
    </row>
    <row r="18">
      <c r="B18" s="4" t="inlineStr">
        <is>
          <t>Write only to named Inputs + module tables; log sources; read only Output for downstream.</t>
        </is>
      </c>
    </row>
    <row r="20">
      <c r="B20" s="4" t="inlineStr">
        <is>
          <t>Sheets engine (Google Sheets API): store spreadsheet in Google Drive, write named ranges, read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zoomScale="11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22" customWidth="1" min="4" max="4"/>
    <col width="60" customWidth="1" min="5" max="5"/>
  </cols>
  <sheetData>
    <row r="2" ht="20" customHeight="1">
      <c r="B2" s="5" t="inlineStr">
        <is>
          <t>CONTROL PANEL (Blue/yellow = editable inputs)</t>
        </is>
      </c>
    </row>
    <row r="4">
      <c r="B4" s="7" t="inlineStr">
        <is>
          <t>Ticker</t>
        </is>
      </c>
      <c r="C4" s="8" t="inlineStr"/>
      <c r="D4" s="7" t="inlineStr">
        <is>
          <t>Company name</t>
        </is>
      </c>
      <c r="E4" s="9" t="inlineStr"/>
    </row>
    <row r="5">
      <c r="B5" s="7" t="inlineStr">
        <is>
          <t>Currency / Units</t>
        </is>
      </c>
      <c r="C5" s="8" t="inlineStr">
        <is>
          <t>USD ($mm)</t>
        </is>
      </c>
      <c r="D5" s="7" t="inlineStr">
        <is>
          <t>Base year</t>
        </is>
      </c>
      <c r="E5" s="10" t="inlineStr">
        <is>
          <t>TTM (Trailing Twelve Months)</t>
        </is>
      </c>
    </row>
    <row r="7" ht="20" customHeight="1">
      <c r="B7" s="5" t="inlineStr">
        <is>
          <t>TTM BASE YEAR (Operating)</t>
        </is>
      </c>
    </row>
    <row r="9">
      <c r="B9" s="7" t="inlineStr">
        <is>
          <t>Revenue (TTM)</t>
        </is>
      </c>
      <c r="C9" s="11" t="inlineStr"/>
      <c r="D9" s="12" t="inlineStr">
        <is>
          <t>Input</t>
        </is>
      </c>
      <c r="E9" s="13" t="inlineStr">
        <is>
          <t>TTM = sum last 4 quarters. Reconcile FY+interim if mixing.</t>
        </is>
      </c>
    </row>
    <row r="10">
      <c r="B10" s="7" t="inlineStr">
        <is>
          <t>EBIT (TTM, reported)</t>
        </is>
      </c>
      <c r="C10" s="11" t="inlineStr"/>
      <c r="D10" s="12" t="inlineStr">
        <is>
          <t>Input</t>
        </is>
      </c>
      <c r="E10" s="7" t="inlineStr"/>
    </row>
    <row r="11">
      <c r="B11" s="7" t="inlineStr">
        <is>
          <t>Effective tax rate (TTM)</t>
        </is>
      </c>
      <c r="C11" s="14" t="inlineStr"/>
      <c r="D11" s="12" t="inlineStr">
        <is>
          <t>Input</t>
        </is>
      </c>
      <c r="E11" s="7" t="inlineStr"/>
    </row>
    <row r="12">
      <c r="B12" s="7" t="inlineStr">
        <is>
          <t>Depreciation &amp; amortization (TTM)</t>
        </is>
      </c>
      <c r="C12" s="11" t="inlineStr"/>
      <c r="D12" s="12" t="inlineStr">
        <is>
          <t>Input</t>
        </is>
      </c>
      <c r="E12" s="7" t="inlineStr"/>
    </row>
    <row r="13">
      <c r="B13" s="7" t="inlineStr">
        <is>
          <t>Capex (TTM, PPE purchases)</t>
        </is>
      </c>
      <c r="C13" s="11" t="inlineStr"/>
      <c r="D13" s="12" t="inlineStr">
        <is>
          <t>Input</t>
        </is>
      </c>
      <c r="E13" s="7" t="inlineStr"/>
    </row>
    <row r="14">
      <c r="B14" s="7" t="inlineStr">
        <is>
          <t>ΔNet working capital (TTM)</t>
        </is>
      </c>
      <c r="C14" s="11" t="inlineStr"/>
      <c r="D14" s="12" t="inlineStr">
        <is>
          <t>Input</t>
        </is>
      </c>
      <c r="E14" s="7" t="inlineStr"/>
    </row>
    <row r="15">
      <c r="B15" s="7" t="inlineStr">
        <is>
          <t>R&amp;D expense (TTM)</t>
        </is>
      </c>
      <c r="C15" s="11" t="inlineStr"/>
      <c r="D15" s="12" t="inlineStr">
        <is>
          <t>Input</t>
        </is>
      </c>
      <c r="E15" s="7" t="inlineStr"/>
    </row>
    <row r="16">
      <c r="B16" s="7" t="inlineStr">
        <is>
          <t>Rent/operating lease expense (TTM)</t>
        </is>
      </c>
      <c r="C16" s="11" t="inlineStr"/>
      <c r="D16" s="12" t="inlineStr">
        <is>
          <t>Input</t>
        </is>
      </c>
      <c r="E16" s="7" t="inlineStr"/>
    </row>
    <row r="18" ht="20" customHeight="1">
      <c r="B18" s="5" t="inlineStr">
        <is>
          <t>FORECAST ASSUMPTIONS</t>
        </is>
      </c>
      <c r="G18" t="inlineStr" s="5">
        <is>
          <t>SCENARIO ASSUMPTIONS</t>
        </is>
      </c>
    </row>
    <row r="19">
      <c r="G19" t="inlineStr" s="27">
        <is>
          <t>Pessimistic</t>
        </is>
      </c>
      <c r="H19" t="inlineStr" s="27">
        <is>
          <t>Neutral</t>
        </is>
      </c>
      <c r="I19" t="inlineStr" s="27">
        <is>
          <t>Optimistic</t>
        </is>
      </c>
    </row>
    <row r="20">
      <c r="B20" s="7" t="inlineStr">
        <is>
          <t>Revenue growth Year 1</t>
        </is>
      </c>
      <c r="C20" s="14" t="n">
        <v>0.05</v>
      </c>
      <c r="D20" s="12" t="inlineStr">
        <is>
          <t>Editable assumption</t>
        </is>
      </c>
      <c r="E20" s="15" t="inlineStr">
        <is>
          <t>Growth fades linearly from Year 5 to terminal growth by Year 10.</t>
        </is>
      </c>
      <c r="G20" s="14">
        <f>C20-0.02</f>
        <v/>
      </c>
      <c r="H20" s="14">
        <f>C20</f>
        <v/>
      </c>
      <c r="I20" s="14">
        <f>C20+0.015</f>
        <v/>
      </c>
    </row>
    <row r="21">
      <c r="B21" s="7" t="inlineStr">
        <is>
          <t>Revenue growth Year 2</t>
        </is>
      </c>
      <c r="C21" s="14" t="n">
        <v>0.04</v>
      </c>
      <c r="D21" s="12" t="inlineStr">
        <is>
          <t>Editable assumption</t>
        </is>
      </c>
      <c r="G21" s="14">
        <f>C21-0.02</f>
        <v/>
      </c>
      <c r="H21" s="14">
        <f>C21</f>
        <v/>
      </c>
      <c r="I21" s="14">
        <f>C21+0.015</f>
        <v/>
      </c>
    </row>
    <row r="22">
      <c r="B22" s="7" t="inlineStr">
        <is>
          <t>Revenue growth Year 3</t>
        </is>
      </c>
      <c r="C22" s="14" t="n">
        <v>0.03</v>
      </c>
      <c r="D22" s="12" t="inlineStr">
        <is>
          <t>Editable assumption</t>
        </is>
      </c>
      <c r="G22" s="14">
        <f>C22-0.02</f>
        <v/>
      </c>
      <c r="H22" s="14">
        <f>C22</f>
        <v/>
      </c>
      <c r="I22" s="14">
        <f>C22+0.015</f>
        <v/>
      </c>
    </row>
    <row r="23">
      <c r="B23" s="7" t="inlineStr">
        <is>
          <t>Revenue growth Year 4</t>
        </is>
      </c>
      <c r="C23" s="14" t="n">
        <v>0.03</v>
      </c>
      <c r="D23" s="12" t="inlineStr">
        <is>
          <t>Editable assumption</t>
        </is>
      </c>
      <c r="G23" s="14">
        <f>C23-0.02</f>
        <v/>
      </c>
      <c r="H23" s="14">
        <f>C23</f>
        <v/>
      </c>
      <c r="I23" s="14">
        <f>C23+0.015</f>
        <v/>
      </c>
    </row>
    <row r="24">
      <c r="B24" s="7" t="inlineStr">
        <is>
          <t>Revenue growth Year 5</t>
        </is>
      </c>
      <c r="C24" s="14" t="n">
        <v>0.03</v>
      </c>
      <c r="D24" s="12" t="inlineStr">
        <is>
          <t>Editable assumption</t>
        </is>
      </c>
      <c r="G24" s="14">
        <f>C24-0.02</f>
        <v/>
      </c>
      <c r="H24" s="14">
        <f>C24</f>
        <v/>
      </c>
      <c r="I24" s="14">
        <f>C24+0.015</f>
        <v/>
      </c>
    </row>
    <row r="25">
      <c r="B25" s="7" t="inlineStr">
        <is>
          <t>Target EBIT margin (by Year 5)</t>
        </is>
      </c>
      <c r="C25" s="14" t="n">
        <v>0.3</v>
      </c>
      <c r="D25" s="12" t="inlineStr">
        <is>
          <t>Editable assumption</t>
        </is>
      </c>
      <c r="G25" s="14">
        <f>C25-0.03</f>
        <v/>
      </c>
      <c r="H25" s="14">
        <f>C25</f>
        <v/>
      </c>
      <c r="I25" s="14">
        <f>C25+0.03</f>
        <v/>
      </c>
    </row>
    <row r="26">
      <c r="B26" s="7" t="inlineStr">
        <is>
          <t>Terminal EBIT margin (by Year 10)</t>
        </is>
      </c>
      <c r="C26" s="14" t="n">
        <v>0.3</v>
      </c>
      <c r="D26" s="12" t="inlineStr">
        <is>
          <t>Editable assumption</t>
        </is>
      </c>
      <c r="G26" s="14">
        <f>C26-0.03</f>
        <v/>
      </c>
      <c r="H26" s="14">
        <f>C26</f>
        <v/>
      </c>
      <c r="I26" s="14">
        <f>C26+0.03</f>
        <v/>
      </c>
    </row>
    <row r="27">
      <c r="B27" s="7" t="inlineStr">
        <is>
          <t>Tax rate (normalized)</t>
        </is>
      </c>
      <c r="C27" s="14" t="n">
        <v>0.18</v>
      </c>
      <c r="D27" s="12" t="inlineStr">
        <is>
          <t>Editable assumption</t>
        </is>
      </c>
      <c r="G27" s="14">
        <f>C27+0.005</f>
        <v/>
      </c>
      <c r="H27" s="14">
        <f>C27</f>
        <v/>
      </c>
      <c r="I27" s="14">
        <f>MAX(C27-0.005,0)</f>
        <v/>
      </c>
    </row>
    <row r="28">
      <c r="B28" s="7" t="inlineStr">
        <is>
          <t>D&amp;A % of revenue</t>
        </is>
      </c>
      <c r="C28" s="14" t="n">
        <v>0.03</v>
      </c>
      <c r="D28" s="12" t="inlineStr">
        <is>
          <t>Editable assumption</t>
        </is>
      </c>
      <c r="G28" s="14">
        <f>C28</f>
        <v/>
      </c>
      <c r="H28" s="14">
        <f>C28</f>
        <v/>
      </c>
      <c r="I28" s="14">
        <f>C28</f>
        <v/>
      </c>
    </row>
    <row r="29">
      <c r="B29" s="7" t="inlineStr">
        <is>
          <t>Capex % of revenue</t>
        </is>
      </c>
      <c r="C29" s="14" t="n">
        <v>0.02</v>
      </c>
      <c r="D29" s="12" t="inlineStr">
        <is>
          <t>Editable assumption</t>
        </is>
      </c>
      <c r="G29" s="14">
        <f>C29+0.005</f>
        <v/>
      </c>
      <c r="H29" s="14">
        <f>C29</f>
        <v/>
      </c>
      <c r="I29" s="14">
        <f>MAX(C29-0.005,0)</f>
        <v/>
      </c>
    </row>
    <row r="30">
      <c r="B30" s="7" t="inlineStr">
        <is>
          <t>ΔNWC % of revenue</t>
        </is>
      </c>
      <c r="C30" s="14" t="n">
        <v>0</v>
      </c>
      <c r="D30" s="12" t="inlineStr">
        <is>
          <t>Editable assumption</t>
        </is>
      </c>
      <c r="G30" s="14">
        <f>C30+0.005</f>
        <v/>
      </c>
      <c r="H30" s="14">
        <f>C30</f>
        <v/>
      </c>
      <c r="I30" s="14">
        <f>C30-0.005</f>
        <v/>
      </c>
    </row>
    <row r="31">
      <c r="B31" s="7" t="inlineStr">
        <is>
          <t>R&amp;D % of revenue</t>
        </is>
      </c>
      <c r="C31" s="14" t="n">
        <v>0.07000000000000001</v>
      </c>
      <c r="D31" s="12" t="inlineStr">
        <is>
          <t>Editable assumption</t>
        </is>
      </c>
      <c r="G31" s="14">
        <f>MAX(C31-0.01,0)</f>
        <v/>
      </c>
      <c r="H31" s="14">
        <f>C31</f>
        <v/>
      </c>
      <c r="I31" s="14">
        <f>C31+0.01</f>
        <v/>
      </c>
    </row>
    <row r="32">
      <c r="B32" s="7" t="inlineStr">
        <is>
          <t>Rent/lease expense % of revenue</t>
        </is>
      </c>
      <c r="C32" s="14" t="n">
        <v>0.01</v>
      </c>
      <c r="D32" s="12" t="inlineStr">
        <is>
          <t>Editable assumption</t>
        </is>
      </c>
      <c r="G32" s="14">
        <f>C32+0.003</f>
        <v/>
      </c>
      <c r="H32" s="14">
        <f>C32</f>
        <v/>
      </c>
      <c r="I32" s="14">
        <f>MAX(C32-0.003,0)</f>
        <v/>
      </c>
    </row>
    <row r="35" ht="20" customHeight="1">
      <c r="B35" s="5" t="inlineStr">
        <is>
          <t>RISK &amp; DISCOUNTING (WACC) — Guardrail: g ≤ rf</t>
        </is>
      </c>
    </row>
    <row r="36">
      <c r="G36" t="inlineStr" s="27">
        <is>
          <t>Pessimistic</t>
        </is>
      </c>
      <c r="H36" t="inlineStr" s="27">
        <is>
          <t>Neutral</t>
        </is>
      </c>
      <c r="I36" t="inlineStr" s="27">
        <is>
          <t>Optimistic</t>
        </is>
      </c>
    </row>
    <row r="37">
      <c r="B37" s="7" t="inlineStr">
        <is>
          <t>Risk‑free rate (rf)</t>
        </is>
      </c>
      <c r="C37" s="16" t="n">
        <v>0.0425</v>
      </c>
      <c r="D37" s="12" t="inlineStr">
        <is>
          <t>Input</t>
        </is>
      </c>
      <c r="G37" s="16">
        <f>C37</f>
        <v/>
      </c>
      <c r="H37" s="16">
        <f>C37</f>
        <v/>
      </c>
      <c r="I37" s="16">
        <f>C37</f>
        <v/>
      </c>
    </row>
    <row r="38">
      <c r="B38" s="7" t="inlineStr">
        <is>
          <t>Equity risk premium (ERP)</t>
        </is>
      </c>
      <c r="C38" s="16" t="n">
        <v>0.05</v>
      </c>
      <c r="D38" s="12" t="inlineStr">
        <is>
          <t>Input</t>
        </is>
      </c>
      <c r="G38" s="16">
        <f>C38+0.005</f>
        <v/>
      </c>
      <c r="H38" s="16">
        <f>C38</f>
        <v/>
      </c>
      <c r="I38" s="16">
        <f>MAX(C38-0.005,0)</f>
        <v/>
      </c>
    </row>
    <row r="39">
      <c r="B39" s="7" t="inlineStr">
        <is>
          <t>Levered beta (βL)</t>
        </is>
      </c>
      <c r="C39" s="17" t="n">
        <v>1.1</v>
      </c>
      <c r="D39" s="12" t="inlineStr">
        <is>
          <t>Input</t>
        </is>
      </c>
      <c r="G39" s="16">
        <f>C39+0.10</f>
        <v/>
      </c>
      <c r="H39" s="16">
        <f>C39</f>
        <v/>
      </c>
      <c r="I39" s="16">
        <f>MAX(C39-0.10,0)</f>
        <v/>
      </c>
    </row>
    <row r="40">
      <c r="B40" s="7" t="inlineStr">
        <is>
          <t>Cost of equity (ke)</t>
        </is>
      </c>
      <c r="C40" s="18">
        <f>C37 + C39*C38</f>
        <v/>
      </c>
      <c r="D40" s="12" t="inlineStr">
        <is>
          <t>Calculated</t>
        </is>
      </c>
      <c r="G40" s="18">
        <f>G37 + G39*G38</f>
        <v/>
      </c>
      <c r="H40" s="18">
        <f>H37 + H39*H38</f>
        <v/>
      </c>
      <c r="I40" s="18">
        <f>I37 + I39*I38</f>
        <v/>
      </c>
    </row>
    <row r="41">
      <c r="B41" s="7" t="inlineStr">
        <is>
          <t>Pre‑tax cost of debt (kd)</t>
        </is>
      </c>
      <c r="C41" s="16" t="n">
        <v>0.055</v>
      </c>
      <c r="D41" s="12" t="inlineStr">
        <is>
          <t>Input</t>
        </is>
      </c>
      <c r="G41" s="16">
        <f>C41+0.005</f>
        <v/>
      </c>
      <c r="H41" s="16">
        <f>C41</f>
        <v/>
      </c>
      <c r="I41" s="16">
        <f>MAX(C41-0.005,0)</f>
        <v/>
      </c>
    </row>
    <row r="42">
      <c r="B42" s="7" t="inlineStr">
        <is>
          <t>Target debt weight (Dw)</t>
        </is>
      </c>
      <c r="C42" s="14" t="n">
        <v>0.1</v>
      </c>
      <c r="D42" s="12" t="inlineStr">
        <is>
          <t>Input</t>
        </is>
      </c>
      <c r="G42" s="16">
        <f>MIN(C42+0.05,0.80)</f>
        <v/>
      </c>
      <c r="H42" s="16">
        <f>C42</f>
        <v/>
      </c>
      <c r="I42" s="16">
        <f>MAX(C42-0.05,0)</f>
        <v/>
      </c>
    </row>
    <row r="43">
      <c r="B43" s="7" t="inlineStr">
        <is>
          <t>WACC</t>
        </is>
      </c>
      <c r="C43" s="18">
        <f>C40*(1-C42) + C41*(1-C27)*C42</f>
        <v/>
      </c>
      <c r="D43" s="12" t="inlineStr">
        <is>
          <t>Calculated</t>
        </is>
      </c>
      <c r="G43" s="18">
        <f>G40*(1-G42) + G41*(1-G27)*G42</f>
        <v/>
      </c>
      <c r="H43" s="18">
        <f>H40*(1-H42) + H41*(1-H27)*H42</f>
        <v/>
      </c>
      <c r="I43" s="18">
        <f>I40*(1-I42) + I41*(1-I27)*I42</f>
        <v/>
      </c>
    </row>
    <row r="44">
      <c r="B44" s="7" t="inlineStr">
        <is>
          <t>Terminal growth (g)</t>
        </is>
      </c>
      <c r="C44" s="16" t="n">
        <v>0.025</v>
      </c>
      <c r="D44" s="12" t="inlineStr">
        <is>
          <t>Input</t>
        </is>
      </c>
      <c r="E44" s="15" t="inlineStr">
        <is>
          <t>Hard stops: g ≤ rf and WACC &gt; g.</t>
        </is>
      </c>
      <c r="G44" s="16">
        <f>MAX(C44-0.0075,0.005)</f>
        <v/>
      </c>
      <c r="H44" s="16">
        <f>C44</f>
        <v/>
      </c>
      <c r="I44" s="16">
        <f>MIN(C44+0.005,I37-0.0025)</f>
        <v/>
      </c>
    </row>
    <row r="47" ht="20" customHeight="1">
      <c r="B47" s="5" t="inlineStr">
        <is>
          <t>EQUITY BRIDGE &amp; SHARES</t>
        </is>
      </c>
    </row>
    <row r="49">
      <c r="B49" s="7" t="inlineStr">
        <is>
          <t>Cash &amp; marketable securities</t>
        </is>
      </c>
      <c r="C49" s="11" t="inlineStr"/>
      <c r="D49" s="12" t="inlineStr">
        <is>
          <t>Input</t>
        </is>
      </c>
    </row>
    <row r="50">
      <c r="B50" s="7" t="inlineStr">
        <is>
          <t>Total debt (ex‑leases)</t>
        </is>
      </c>
      <c r="C50" s="11" t="inlineStr"/>
      <c r="D50" s="12" t="inlineStr">
        <is>
          <t>Input</t>
        </is>
      </c>
    </row>
    <row r="51">
      <c r="B51" s="7" t="inlineStr">
        <is>
          <t>Lease debt (PV)</t>
        </is>
      </c>
      <c r="C51" s="19">
        <f>'Lease Capitalization'!C19</f>
        <v/>
      </c>
      <c r="D51" s="12" t="inlineStr">
        <is>
          <t>Calculated</t>
        </is>
      </c>
    </row>
    <row r="52">
      <c r="B52" s="7" t="inlineStr">
        <is>
          <t>Other non‑operating adjustments</t>
        </is>
      </c>
      <c r="C52" s="11" t="inlineStr"/>
      <c r="D52" s="12" t="inlineStr">
        <is>
          <t>Input</t>
        </is>
      </c>
    </row>
    <row r="53">
      <c r="B53" s="7" t="inlineStr">
        <is>
          <t>Basic shares outstanding (mm)</t>
        </is>
      </c>
      <c r="C53" s="20" t="inlineStr"/>
      <c r="D53" s="12" t="inlineStr">
        <is>
          <t>Input</t>
        </is>
      </c>
      <c r="E53" s="15" t="inlineStr">
        <is>
          <t>TSM: fill option/RSU tranches on Dilution tab.</t>
        </is>
      </c>
    </row>
    <row r="54">
      <c r="B54" s="7" t="inlineStr">
        <is>
          <t>Average share price for dilution (P)</t>
        </is>
      </c>
      <c r="C54" s="17" t="inlineStr"/>
      <c r="D54" s="12" t="inlineStr">
        <is>
          <t>Input</t>
        </is>
      </c>
    </row>
    <row r="55">
      <c r="B55" s="7" t="inlineStr">
        <is>
          <t>Diluted shares (mm)</t>
        </is>
      </c>
      <c r="C55" s="21">
        <f>'Dilution (TSM)'!C14</f>
        <v/>
      </c>
      <c r="D55" s="12" t="inlineStr">
        <is>
          <t>Calculated</t>
        </is>
      </c>
    </row>
    <row r="57">
      <c r="B57" s="10" t="inlineStr">
        <is>
          <t>Module toggles</t>
        </is>
      </c>
      <c r="C57" s="22" t="n"/>
    </row>
    <row r="58">
      <c r="B58" s="7" t="inlineStr">
        <is>
          <t>Capitalize R&amp;D?</t>
        </is>
      </c>
      <c r="C58" s="23" t="inlineStr">
        <is>
          <t>YES</t>
        </is>
      </c>
    </row>
    <row r="59">
      <c r="B59" s="7" t="inlineStr">
        <is>
          <t>Capitalize operating leases?</t>
        </is>
      </c>
      <c r="C59" s="23" t="inlineStr">
        <is>
          <t>YES</t>
        </is>
      </c>
    </row>
    <row r="61">
      <c r="B61" t="inlineStr" s="5">
        <is>
          <t>SCENARIO WEIGHTS (must sum to 100%)</t>
        </is>
      </c>
    </row>
    <row r="62">
      <c r="G62" t="inlineStr" s="27">
        <is>
          <t>Pessimistic</t>
        </is>
      </c>
      <c r="H62" t="inlineStr" s="27">
        <is>
          <t>Neutral</t>
        </is>
      </c>
      <c r="I62" t="inlineStr" s="27">
        <is>
          <t>Optimistic</t>
        </is>
      </c>
    </row>
    <row r="63">
      <c r="G63" t="n" s="14">
        <v>0.25</v>
      </c>
      <c r="H63" t="n" s="14">
        <v>0.5</v>
      </c>
      <c r="I63" t="n" s="14">
        <v>0.25</v>
      </c>
    </row>
    <row r="64">
      <c r="B64" t="inlineStr" s="7">
        <is>
          <t>Weight sum</t>
        </is>
      </c>
      <c r="G64" s="18">
        <f>SUM(G63:I63)</f>
        <v/>
      </c>
      <c r="H64" t="inlineStr" s="7">
        <is>
          <t>must equal 1.00</t>
        </is>
      </c>
    </row>
  </sheetData>
  <mergeCells count="5">
    <mergeCell ref="B18:E18"/>
    <mergeCell ref="B35:E35"/>
    <mergeCell ref="B7:E7"/>
    <mergeCell ref="B47:E47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zoomScale="11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44" customWidth="1" min="7" max="7"/>
  </cols>
  <sheetData>
    <row r="2" ht="20" customHeight="1">
      <c r="B2" s="5" t="inlineStr">
        <is>
          <t>DILUTION — TREASURY STOCK METHOD (TSM)</t>
        </is>
      </c>
    </row>
    <row r="4">
      <c r="B4" s="24" t="inlineStr">
        <is>
          <t>Average share price (P)</t>
        </is>
      </c>
      <c r="C4" s="25">
        <f>Inputs!C54</f>
        <v/>
      </c>
    </row>
    <row r="5">
      <c r="B5" s="24" t="inlineStr">
        <is>
          <t>Basic shares (mm)</t>
        </is>
      </c>
      <c r="C5" s="25">
        <f>Inputs!C53</f>
        <v/>
      </c>
    </row>
    <row r="6">
      <c r="B6" s="24" t="n"/>
      <c r="C6" s="26" t="inlineStr">
        <is>
          <t>Enter tranches below. OTM options =&gt; 0 incremental shares.</t>
        </is>
      </c>
    </row>
    <row r="8" ht="18" customHeight="1">
      <c r="B8" s="27" t="inlineStr">
        <is>
          <t>Instrument</t>
        </is>
      </c>
      <c r="C8" s="27" t="inlineStr">
        <is>
          <t>Count (mm)</t>
        </is>
      </c>
      <c r="D8" s="27" t="inlineStr">
        <is>
          <t>Strike (K)</t>
        </is>
      </c>
      <c r="E8" s="27" t="inlineStr">
        <is>
          <t>Type (Option/Warrant/RSU)</t>
        </is>
      </c>
      <c r="F8" s="27" t="inlineStr">
        <is>
          <t>Incremental shares (mm)</t>
        </is>
      </c>
      <c r="G8" s="27" t="inlineStr">
        <is>
          <t>Notes</t>
        </is>
      </c>
    </row>
    <row r="9">
      <c r="B9" s="7" t="inlineStr"/>
      <c r="C9" s="20" t="inlineStr"/>
      <c r="D9" s="20" t="inlineStr"/>
      <c r="E9" s="20" t="inlineStr"/>
      <c r="F9" s="28">
        <f>IF(UPPER(E9)="RSU",C9,IF(AND(C9&lt;&gt;"",D9&lt;&gt;"",$C$4&lt;&gt;""),C9*MAX(0,1-D9/$C$4),""))</f>
        <v/>
      </c>
      <c r="G9" s="7" t="inlineStr"/>
    </row>
    <row r="10">
      <c r="B10" s="7" t="inlineStr"/>
      <c r="C10" s="20" t="inlineStr"/>
      <c r="D10" s="20" t="inlineStr"/>
      <c r="E10" s="20" t="inlineStr"/>
      <c r="F10" s="28">
        <f>IF(UPPER(E10)="RSU",C10,IF(AND(C10&lt;&gt;"",D10&lt;&gt;"",$C$4&lt;&gt;""),C10*MAX(0,1-D10/$C$4),""))</f>
        <v/>
      </c>
      <c r="G10" s="7" t="inlineStr"/>
    </row>
    <row r="11">
      <c r="B11" s="7" t="inlineStr"/>
      <c r="C11" s="20" t="inlineStr"/>
      <c r="D11" s="20" t="inlineStr"/>
      <c r="E11" s="20" t="inlineStr"/>
      <c r="F11" s="28">
        <f>IF(UPPER(E11)="RSU",C11,IF(AND(C11&lt;&gt;"",D11&lt;&gt;"",$C$4&lt;&gt;""),C11*MAX(0,1-D11/$C$4),""))</f>
        <v/>
      </c>
      <c r="G11" s="7" t="inlineStr"/>
    </row>
    <row r="12">
      <c r="B12" s="7" t="inlineStr"/>
      <c r="C12" s="20" t="inlineStr"/>
      <c r="D12" s="20" t="inlineStr"/>
      <c r="E12" s="20" t="inlineStr"/>
      <c r="F12" s="28">
        <f>IF(UPPER(E12)="RSU",C12,IF(AND(C12&lt;&gt;"",D12&lt;&gt;"",$C$4&lt;&gt;""),C12*MAX(0,1-D12/$C$4),""))</f>
        <v/>
      </c>
      <c r="G12" s="7" t="inlineStr"/>
    </row>
    <row r="13">
      <c r="B13" s="7" t="inlineStr"/>
      <c r="C13" s="20" t="inlineStr"/>
      <c r="D13" s="20" t="inlineStr"/>
      <c r="E13" s="20" t="inlineStr"/>
      <c r="F13" s="28">
        <f>IF(UPPER(E13)="RSU",C13,IF(AND(C13&lt;&gt;"",D13&lt;&gt;"",$C$4&lt;&gt;""),C13*MAX(0,1-D13/$C$4),""))</f>
        <v/>
      </c>
      <c r="G13" s="7" t="inlineStr"/>
    </row>
    <row r="14">
      <c r="B14" s="7" t="inlineStr"/>
      <c r="C14" s="29">
        <f>C25</f>
        <v/>
      </c>
      <c r="D14" s="20" t="inlineStr"/>
      <c r="E14" s="20" t="inlineStr"/>
      <c r="F14" s="28">
        <f>IF(UPPER(E14)="RSU",C14,IF(AND(C14&lt;&gt;"",D14&lt;&gt;"",$C$4&lt;&gt;""),C14*MAX(0,1-D14/$C$4),""))</f>
        <v/>
      </c>
      <c r="G14" s="7" t="inlineStr"/>
    </row>
    <row r="15">
      <c r="B15" s="7" t="inlineStr"/>
      <c r="C15" s="20" t="inlineStr"/>
      <c r="D15" s="20" t="inlineStr"/>
      <c r="E15" s="20" t="inlineStr"/>
      <c r="F15" s="28">
        <f>IF(UPPER(E15)="RSU",C15,IF(AND(C15&lt;&gt;"",D15&lt;&gt;"",$C$4&lt;&gt;""),C15*MAX(0,1-D15/$C$4),""))</f>
        <v/>
      </c>
      <c r="G15" s="7" t="inlineStr"/>
    </row>
    <row r="16">
      <c r="B16" s="7" t="inlineStr"/>
      <c r="C16" s="20" t="inlineStr"/>
      <c r="D16" s="20" t="inlineStr"/>
      <c r="E16" s="20" t="inlineStr"/>
      <c r="F16" s="28">
        <f>IF(UPPER(E16)="RSU",C16,IF(AND(C16&lt;&gt;"",D16&lt;&gt;"",$C$4&lt;&gt;""),C16*MAX(0,1-D16/$C$4),""))</f>
        <v/>
      </c>
      <c r="G16" s="7" t="inlineStr"/>
    </row>
    <row r="17">
      <c r="B17" s="7" t="inlineStr"/>
      <c r="C17" s="20" t="inlineStr"/>
      <c r="D17" s="20" t="inlineStr"/>
      <c r="E17" s="20" t="inlineStr"/>
      <c r="F17" s="28">
        <f>IF(UPPER(E17)="RSU",C17,IF(AND(C17&lt;&gt;"",D17&lt;&gt;"",$C$4&lt;&gt;""),C17*MAX(0,1-D17/$C$4),""))</f>
        <v/>
      </c>
      <c r="G17" s="7" t="inlineStr"/>
    </row>
    <row r="18">
      <c r="B18" s="7" t="inlineStr"/>
      <c r="C18" s="20" t="inlineStr"/>
      <c r="D18" s="20" t="inlineStr"/>
      <c r="E18" s="20" t="inlineStr"/>
      <c r="F18" s="28">
        <f>IF(UPPER(E18)="RSU",C18,IF(AND(C18&lt;&gt;"",D18&lt;&gt;"",$C$4&lt;&gt;""),C18*MAX(0,1-D18/$C$4),""))</f>
        <v/>
      </c>
      <c r="G18" s="7" t="inlineStr"/>
    </row>
    <row r="19">
      <c r="B19" s="7" t="inlineStr"/>
      <c r="C19" s="20" t="inlineStr"/>
      <c r="D19" s="20" t="inlineStr"/>
      <c r="E19" s="20" t="inlineStr"/>
      <c r="F19" s="28">
        <f>IF(UPPER(E19)="RSU",C19,IF(AND(C19&lt;&gt;"",D19&lt;&gt;"",$C$4&lt;&gt;""),C19*MAX(0,1-D19/$C$4),""))</f>
        <v/>
      </c>
      <c r="G19" s="7" t="inlineStr"/>
    </row>
    <row r="20">
      <c r="B20" s="7" t="inlineStr"/>
      <c r="C20" s="20" t="inlineStr"/>
      <c r="D20" s="20" t="inlineStr"/>
      <c r="E20" s="20" t="inlineStr"/>
      <c r="F20" s="28">
        <f>IF(UPPER(E20)="RSU",C20,IF(AND(C20&lt;&gt;"",D20&lt;&gt;"",$C$4&lt;&gt;""),C20*MAX(0,1-D20/$C$4),""))</f>
        <v/>
      </c>
      <c r="G20" s="7" t="inlineStr"/>
    </row>
    <row r="22" ht="20" customHeight="1">
      <c r="B22" s="5" t="inlineStr">
        <is>
          <t>TSM SUMMARY</t>
        </is>
      </c>
    </row>
    <row r="24">
      <c r="B24" s="30" t="inlineStr">
        <is>
          <t>Total incremental shares (mm)</t>
        </is>
      </c>
      <c r="C24" s="31">
        <f>SUM(F9:F20)</f>
        <v/>
      </c>
    </row>
    <row r="25">
      <c r="B25" s="30" t="inlineStr">
        <is>
          <t>Diluted shares (mm)</t>
        </is>
      </c>
      <c r="C25" s="31">
        <f>C5+C24</f>
        <v/>
      </c>
    </row>
  </sheetData>
  <mergeCells count="2">
    <mergeCell ref="B22:G22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zoomScale="11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48" customWidth="1" min="6" max="6"/>
  </cols>
  <sheetData>
    <row r="2" ht="20" customHeight="1">
      <c r="B2" s="5" t="inlineStr">
        <is>
          <t>R&amp;D CAPITALIZATION (OPEX → CAPEX)</t>
        </is>
      </c>
    </row>
    <row r="4">
      <c r="B4" s="7" t="inlineStr">
        <is>
          <t>Use module? (YES/NO)</t>
        </is>
      </c>
      <c r="C4" s="32">
        <f>Inputs!C58</f>
        <v/>
      </c>
      <c r="F4" s="15" t="inlineStr">
        <is>
          <t>Populate past R&amp;D for at least chosen life; outputs feed DCF adjustments.</t>
        </is>
      </c>
    </row>
    <row r="5">
      <c r="B5" s="7" t="inlineStr">
        <is>
          <t>Amortization life (years)</t>
        </is>
      </c>
      <c r="C5" s="33" t="n">
        <v>5</v>
      </c>
    </row>
    <row r="7" ht="20" customHeight="1">
      <c r="B7" s="5" t="inlineStr">
        <is>
          <t>INPUT: HISTORICAL R&amp;D (USD mm)</t>
        </is>
      </c>
    </row>
    <row r="8" ht="18" customHeight="1">
      <c r="B8" s="27" t="inlineStr">
        <is>
          <t>Year</t>
        </is>
      </c>
      <c r="C8" s="27" t="inlineStr">
        <is>
          <t>R&amp;D expense</t>
        </is>
      </c>
      <c r="D8" s="27" t="inlineStr">
        <is>
          <t>% unamortized</t>
        </is>
      </c>
      <c r="E8" s="27" t="inlineStr">
        <is>
          <t>Unamortized</t>
        </is>
      </c>
      <c r="F8" s="27" t="inlineStr">
        <is>
          <t>Amortization</t>
        </is>
      </c>
      <c r="G8" s="27" t="inlineStr">
        <is>
          <t>Notes</t>
        </is>
      </c>
    </row>
    <row r="9">
      <c r="B9" s="7" t="inlineStr">
        <is>
          <t>Year 0 (TTM)</t>
        </is>
      </c>
      <c r="C9" s="11">
        <f>Inputs!C15</f>
        <v/>
      </c>
      <c r="D9" s="34">
        <f>MAX(0,($C$5-0)/$C$5)</f>
        <v/>
      </c>
      <c r="E9" s="35">
        <f>C9*D9</f>
        <v/>
      </c>
      <c r="F9" s="35">
        <f>IF(C9="","",C9/$C$5)</f>
        <v/>
      </c>
      <c r="G9" s="7" t="inlineStr"/>
    </row>
    <row r="10">
      <c r="B10" s="7" t="inlineStr">
        <is>
          <t>Year -1</t>
        </is>
      </c>
      <c r="C10" s="11" t="inlineStr"/>
      <c r="D10" s="34">
        <f>MAX(0,($C$5-1)/$C$5)</f>
        <v/>
      </c>
      <c r="E10" s="35">
        <f>C10*D10</f>
        <v/>
      </c>
      <c r="F10" s="35">
        <f>IF(C10="","",C10/$C$5)</f>
        <v/>
      </c>
      <c r="G10" s="7" t="inlineStr"/>
    </row>
    <row r="11">
      <c r="B11" s="7" t="inlineStr">
        <is>
          <t>Year -2</t>
        </is>
      </c>
      <c r="C11" s="11" t="inlineStr"/>
      <c r="D11" s="34">
        <f>MAX(0,($C$5-2)/$C$5)</f>
        <v/>
      </c>
      <c r="E11" s="35">
        <f>C11*D11</f>
        <v/>
      </c>
      <c r="F11" s="35">
        <f>IF(C11="","",C11/$C$5)</f>
        <v/>
      </c>
      <c r="G11" s="7" t="inlineStr"/>
    </row>
    <row r="12">
      <c r="B12" s="7" t="inlineStr">
        <is>
          <t>Year -3</t>
        </is>
      </c>
      <c r="C12" s="11" t="inlineStr"/>
      <c r="D12" s="34">
        <f>MAX(0,($C$5-3)/$C$5)</f>
        <v/>
      </c>
      <c r="E12" s="35">
        <f>C12*D12</f>
        <v/>
      </c>
      <c r="F12" s="35">
        <f>IF(C12="","",C12/$C$5)</f>
        <v/>
      </c>
      <c r="G12" s="7" t="inlineStr"/>
    </row>
    <row r="13">
      <c r="B13" s="7" t="inlineStr">
        <is>
          <t>Year -4</t>
        </is>
      </c>
      <c r="C13" s="11" t="inlineStr"/>
      <c r="D13" s="34">
        <f>MAX(0,($C$5-4)/$C$5)</f>
        <v/>
      </c>
      <c r="E13" s="35">
        <f>C13*D13</f>
        <v/>
      </c>
      <c r="F13" s="35">
        <f>IF(C13="","",C13/$C$5)</f>
        <v/>
      </c>
      <c r="G13" s="7" t="inlineStr"/>
    </row>
    <row r="14">
      <c r="B14" s="7" t="inlineStr">
        <is>
          <t>Year -5</t>
        </is>
      </c>
      <c r="C14" s="11" t="inlineStr"/>
      <c r="D14" s="34">
        <f>MAX(0,($C$5-5)/$C$5)</f>
        <v/>
      </c>
      <c r="E14" s="35">
        <f>C14*D14</f>
        <v/>
      </c>
      <c r="F14" s="35">
        <f>IF(C14="","",C14/$C$5)</f>
        <v/>
      </c>
      <c r="G14" s="7" t="inlineStr"/>
    </row>
    <row r="15">
      <c r="B15" s="7" t="inlineStr">
        <is>
          <t>Year -6</t>
        </is>
      </c>
      <c r="C15" s="11" t="inlineStr"/>
      <c r="D15" s="34">
        <f>MAX(0,($C$5-6)/$C$5)</f>
        <v/>
      </c>
      <c r="E15" s="35">
        <f>C15*D15</f>
        <v/>
      </c>
      <c r="F15" s="35">
        <f>IF(C15="","",C15/$C$5)</f>
        <v/>
      </c>
      <c r="G15" s="7" t="inlineStr"/>
    </row>
    <row r="16">
      <c r="B16" s="7" t="inlineStr">
        <is>
          <t>Year -7</t>
        </is>
      </c>
      <c r="C16" s="11">
        <f>C22</f>
        <v/>
      </c>
      <c r="D16" s="34">
        <f>MAX(0,($C$5-7)/$C$5)</f>
        <v/>
      </c>
      <c r="E16" s="35">
        <f>C16*D16</f>
        <v/>
      </c>
      <c r="F16" s="35">
        <f>IF(C16="","",C16/$C$5)</f>
        <v/>
      </c>
      <c r="G16" s="7" t="inlineStr"/>
    </row>
    <row r="17">
      <c r="B17" s="7" t="inlineStr">
        <is>
          <t>Year -8</t>
        </is>
      </c>
      <c r="C17" s="11">
        <f>C23</f>
        <v/>
      </c>
      <c r="D17" s="34">
        <f>MAX(0,($C$5-8)/$C$5)</f>
        <v/>
      </c>
      <c r="E17" s="35">
        <f>C17*D17</f>
        <v/>
      </c>
      <c r="F17" s="35">
        <f>IF(C17="","",C17/$C$5)</f>
        <v/>
      </c>
      <c r="G17" s="7" t="inlineStr"/>
    </row>
    <row r="18">
      <c r="B18" s="7" t="inlineStr">
        <is>
          <t>Year -9</t>
        </is>
      </c>
      <c r="C18" s="11">
        <f>C24</f>
        <v/>
      </c>
      <c r="D18" s="34">
        <f>MAX(0,($C$5-9)/$C$5)</f>
        <v/>
      </c>
      <c r="E18" s="35">
        <f>C18*D18</f>
        <v/>
      </c>
      <c r="F18" s="35">
        <f>IF(C18="","",C18/$C$5)</f>
        <v/>
      </c>
      <c r="G18" s="7" t="inlineStr"/>
    </row>
    <row r="19">
      <c r="C19">
        <f>C25</f>
        <v/>
      </c>
    </row>
    <row r="20" ht="20" customHeight="1">
      <c r="B20" s="5" t="inlineStr">
        <is>
          <t>OUTPUTS</t>
        </is>
      </c>
    </row>
    <row r="22">
      <c r="B22" s="30" t="inlineStr">
        <is>
          <t>R&amp;D asset (unamortized)</t>
        </is>
      </c>
      <c r="C22" s="36">
        <f>IF(UPPER(C4)="YES",SUM(E9:E18),0)</f>
        <v/>
      </c>
    </row>
    <row r="23">
      <c r="B23" s="30" t="inlineStr">
        <is>
          <t>R&amp;D amortization (TTM)</t>
        </is>
      </c>
      <c r="C23" s="36">
        <f>IF(UPPER(C4)="YES",SUM(F9:F18),0)</f>
        <v/>
      </c>
    </row>
    <row r="24">
      <c r="B24" s="30" t="inlineStr">
        <is>
          <t>EBIT adjustment</t>
        </is>
      </c>
      <c r="C24" s="36">
        <f>IF(UPPER(C4)="YES",Inputs!C15-C23,0)</f>
        <v/>
      </c>
    </row>
    <row r="25">
      <c r="B25" s="30" t="inlineStr">
        <is>
          <t>R&amp;D treated as capex (TTM)</t>
        </is>
      </c>
      <c r="C25" s="36">
        <f>IF(UPPER(C4)="YES",Inputs!C15,0)</f>
        <v/>
      </c>
    </row>
  </sheetData>
  <mergeCells count="3">
    <mergeCell ref="B2:F2"/>
    <mergeCell ref="B20:F20"/>
    <mergeCell ref="B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zoomScale="11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48" customWidth="1" min="6" max="6"/>
  </cols>
  <sheetData>
    <row r="2" ht="20" customHeight="1">
      <c r="B2" s="5" t="inlineStr">
        <is>
          <t>OPERATING LEASE CAPITALIZATION</t>
        </is>
      </c>
    </row>
    <row r="4">
      <c r="B4" s="7" t="inlineStr">
        <is>
          <t>Use module? (YES/NO)</t>
        </is>
      </c>
      <c r="C4" s="32">
        <f>Inputs!C59</f>
        <v/>
      </c>
      <c r="F4" s="15" t="inlineStr">
        <is>
          <t>Enter commitments Y1–Y5 + thereafter; outputs PV lease debt.</t>
        </is>
      </c>
    </row>
    <row r="5">
      <c r="B5" s="7" t="inlineStr">
        <is>
          <t>Discount rate (pre‑tax kd)</t>
        </is>
      </c>
      <c r="C5" s="32">
        <f>Inputs!C41</f>
        <v/>
      </c>
    </row>
    <row r="6">
      <c r="B6" s="7" t="inlineStr">
        <is>
          <t>Lease life for depreciation (years)</t>
        </is>
      </c>
      <c r="C6" s="33" t="n">
        <v>10</v>
      </c>
    </row>
    <row r="7" ht="20" customHeight="1">
      <c r="B7" s="5" t="inlineStr">
        <is>
          <t>INPUT: LEASE COMMITMENTS (USD mm)</t>
        </is>
      </c>
    </row>
    <row r="8" ht="18" customHeight="1">
      <c r="B8" s="27" t="inlineStr">
        <is>
          <t>Year</t>
        </is>
      </c>
      <c r="C8" s="27" t="inlineStr">
        <is>
          <t>Commitment</t>
        </is>
      </c>
      <c r="D8" s="27" t="inlineStr">
        <is>
          <t>Discount factor</t>
        </is>
      </c>
      <c r="E8" s="27" t="inlineStr">
        <is>
          <t>PV</t>
        </is>
      </c>
      <c r="F8" s="27" t="inlineStr">
        <is>
          <t>Notes</t>
        </is>
      </c>
    </row>
    <row r="9">
      <c r="B9" s="7" t="inlineStr">
        <is>
          <t>Year 1</t>
        </is>
      </c>
      <c r="C9" s="11" t="inlineStr"/>
      <c r="D9" s="32">
        <f>1/(1+$C$5)^1</f>
        <v/>
      </c>
      <c r="E9" s="35">
        <f>C9*D9</f>
        <v/>
      </c>
      <c r="F9" s="7" t="inlineStr"/>
    </row>
    <row r="10">
      <c r="B10" s="7" t="inlineStr">
        <is>
          <t>Year 2</t>
        </is>
      </c>
      <c r="C10" s="11" t="inlineStr"/>
      <c r="D10" s="32">
        <f>1/(1+$C$5)^2</f>
        <v/>
      </c>
      <c r="E10" s="35">
        <f>C10*D10</f>
        <v/>
      </c>
      <c r="F10" s="7" t="inlineStr"/>
    </row>
    <row r="11">
      <c r="B11" s="7" t="inlineStr">
        <is>
          <t>Year 3</t>
        </is>
      </c>
      <c r="C11" s="11" t="inlineStr"/>
      <c r="D11" s="32">
        <f>1/(1+$C$5)^3</f>
        <v/>
      </c>
      <c r="E11" s="35">
        <f>C11*D11</f>
        <v/>
      </c>
      <c r="F11" s="7" t="inlineStr"/>
    </row>
    <row r="12">
      <c r="B12" s="7" t="inlineStr">
        <is>
          <t>Year 4</t>
        </is>
      </c>
      <c r="C12" s="11" t="inlineStr"/>
      <c r="D12" s="32">
        <f>1/(1+$C$5)^4</f>
        <v/>
      </c>
      <c r="E12" s="35">
        <f>C12*D12</f>
        <v/>
      </c>
      <c r="F12" s="7" t="inlineStr"/>
    </row>
    <row r="13">
      <c r="B13" s="7" t="inlineStr">
        <is>
          <t>Year 5</t>
        </is>
      </c>
      <c r="C13" s="11" t="inlineStr"/>
      <c r="D13" s="32">
        <f>1/(1+$C$5)^5</f>
        <v/>
      </c>
      <c r="E13" s="35">
        <f>C13*D13</f>
        <v/>
      </c>
      <c r="F13" s="7" t="inlineStr"/>
    </row>
    <row r="14">
      <c r="B14" s="7" t="inlineStr">
        <is>
          <t>Thereafter (total)</t>
        </is>
      </c>
      <c r="C14" s="11" t="inlineStr"/>
      <c r="D14" s="32" t="n"/>
      <c r="E14" s="35">
        <f>IF(OR(C14="",C15="",$C$5=""),"",(C14/C15)*(1-(1+$C$5)^(-C15))/$C$5/(1+$C$5)^5)</f>
        <v/>
      </c>
      <c r="F14" s="13" t="inlineStr">
        <is>
          <t>Assume distributed over N years (below).</t>
        </is>
      </c>
    </row>
    <row r="15">
      <c r="B15" s="24" t="inlineStr">
        <is>
          <t>Assumed years for thereafter (N)</t>
        </is>
      </c>
      <c r="C15" s="37" t="n">
        <v>10</v>
      </c>
      <c r="F15" s="38" t="inlineStr">
        <is>
          <t>Document assumption if timing not disclosed.</t>
        </is>
      </c>
    </row>
    <row r="17" ht="20" customHeight="1">
      <c r="B17" s="5" t="inlineStr">
        <is>
          <t>OUTPUTS</t>
        </is>
      </c>
    </row>
    <row r="19">
      <c r="B19" s="30" t="inlineStr">
        <is>
          <t>PV of lease commitments (lease debt)</t>
        </is>
      </c>
      <c r="C19" s="36">
        <f>IF(UPPER(C4)="YES",SUM(E9:E13)+E14,0)</f>
        <v/>
      </c>
    </row>
    <row r="20">
      <c r="B20" s="30" t="inlineStr">
        <is>
          <t>Lease depreciation</t>
        </is>
      </c>
      <c r="C20" s="36">
        <f>IF(UPPER(C4)="YES",C19/$C$6,0)</f>
        <v/>
      </c>
    </row>
    <row r="21">
      <c r="B21" s="30" t="inlineStr">
        <is>
          <t>EBIT adjustment</t>
        </is>
      </c>
      <c r="C21" s="36">
        <f>IF(UPPER(C4)="YES",Inputs!C16-C20,0)</f>
        <v/>
      </c>
    </row>
  </sheetData>
  <mergeCells count="3">
    <mergeCell ref="B2:F2"/>
    <mergeCell ref="B17:F17"/>
    <mergeCell ref="B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zoomScale="110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0" customHeight="1">
      <c r="B2" s="5" t="inlineStr">
        <is>
          <t>DCF (FCFF) — TTM base year + optional R&amp;D &amp; lease capitalization</t>
        </is>
      </c>
    </row>
    <row r="8" ht="18" customHeight="1">
      <c r="B8" s="27" t="inlineStr"/>
      <c r="C8" s="27" t="inlineStr">
        <is>
          <t>Y0 (TTM)</t>
        </is>
      </c>
      <c r="D8" s="27" t="inlineStr">
        <is>
          <t>Y1</t>
        </is>
      </c>
      <c r="E8" s="27" t="inlineStr">
        <is>
          <t>Y2</t>
        </is>
      </c>
      <c r="F8" s="27" t="inlineStr">
        <is>
          <t>Y3</t>
        </is>
      </c>
      <c r="G8" s="27" t="inlineStr">
        <is>
          <t>Y4</t>
        </is>
      </c>
      <c r="H8" s="27" t="inlineStr">
        <is>
          <t>Y5</t>
        </is>
      </c>
      <c r="I8" s="27" t="inlineStr">
        <is>
          <t>Y6</t>
        </is>
      </c>
      <c r="J8" s="27" t="inlineStr">
        <is>
          <t>Y7</t>
        </is>
      </c>
      <c r="K8" s="27" t="inlineStr">
        <is>
          <t>Y8</t>
        </is>
      </c>
      <c r="L8" s="27" t="inlineStr">
        <is>
          <t>Y9</t>
        </is>
      </c>
      <c r="M8" s="27" t="inlineStr">
        <is>
          <t>Y10</t>
        </is>
      </c>
    </row>
    <row r="9">
      <c r="B9" s="7" t="inlineStr">
        <is>
          <t>Revenue</t>
        </is>
      </c>
      <c r="C9" s="35">
        <f>Inputs!C9</f>
        <v/>
      </c>
      <c r="D9" s="35">
        <f>C9*(1+D10)</f>
        <v/>
      </c>
      <c r="E9" s="35">
        <f>D9*(1+E10)</f>
        <v/>
      </c>
      <c r="F9" s="35">
        <f>E9*(1+F10)</f>
        <v/>
      </c>
      <c r="G9" s="35">
        <f>F9*(1+G10)</f>
        <v/>
      </c>
      <c r="H9" s="35">
        <f>G9*(1+H10)</f>
        <v/>
      </c>
      <c r="I9" s="35">
        <f>H9*(1+I10)</f>
        <v/>
      </c>
      <c r="J9" s="35">
        <f>I9*(1+J10)</f>
        <v/>
      </c>
      <c r="K9" s="35">
        <f>J9*(1+K10)</f>
        <v/>
      </c>
      <c r="L9" s="35">
        <f>K9*(1+L10)</f>
        <v/>
      </c>
    </row>
    <row r="10">
      <c r="B10" s="7" t="inlineStr">
        <is>
          <t>YoY growth</t>
        </is>
      </c>
      <c r="C10" s="34" t="n"/>
      <c r="D10" s="34">
        <f>Inputs!C20</f>
        <v/>
      </c>
      <c r="E10" s="34">
        <f>Inputs!C21</f>
        <v/>
      </c>
      <c r="F10" s="34">
        <f>Inputs!C22</f>
        <v/>
      </c>
      <c r="G10" s="34">
        <f>Inputs!C23</f>
        <v/>
      </c>
      <c r="H10" s="34">
        <f>Inputs!C24</f>
        <v/>
      </c>
      <c r="I10" s="34">
        <f>Inputs!C44 + (Inputs!C24-Inputs!C44)*((10-6)/5)</f>
        <v/>
      </c>
      <c r="J10" s="34">
        <f>Inputs!C44 + (Inputs!C24-Inputs!C44)*((10-7)/5)</f>
        <v/>
      </c>
      <c r="K10" s="34">
        <f>Inputs!C44 + (Inputs!C24-Inputs!C44)*((10-8)/5)</f>
        <v/>
      </c>
      <c r="L10" s="34">
        <f>Inputs!C44 + (Inputs!C24-Inputs!C44)*((10-9)/5)</f>
        <v/>
      </c>
    </row>
    <row r="11">
      <c r="B11" s="7" t="inlineStr">
        <is>
          <t>EBIT margin</t>
        </is>
      </c>
      <c r="C11" s="34">
        <f>IF(Inputs!C9=0,"",Inputs!C10/Inputs!C9)</f>
        <v/>
      </c>
      <c r="D11" s="34">
        <f>$C$11 + (Inputs!C25-$C$11)*(1/5)</f>
        <v/>
      </c>
      <c r="E11" s="34">
        <f>$C$11 + (Inputs!C25-$C$11)*(2/5)</f>
        <v/>
      </c>
      <c r="F11" s="34">
        <f>$C$11 + (Inputs!C25-$C$11)*(3/5)</f>
        <v/>
      </c>
      <c r="G11" s="34">
        <f>$C$11 + (Inputs!C25-$C$11)*(4/5)</f>
        <v/>
      </c>
      <c r="H11" s="34">
        <f>$C$11 + (Inputs!C25-$C$11)*(5/5)</f>
        <v/>
      </c>
      <c r="I11" s="34">
        <f>Inputs!C25 + (Inputs!C26-Inputs!C25)*((6-5)/5)</f>
        <v/>
      </c>
      <c r="J11" s="34">
        <f>Inputs!C25 + (Inputs!C26-Inputs!C25)*((7-5)/5)</f>
        <v/>
      </c>
      <c r="K11" s="34">
        <f>Inputs!C25 + (Inputs!C26-Inputs!C25)*((8-5)/5)</f>
        <v/>
      </c>
      <c r="L11" s="34">
        <f>Inputs!C25 + (Inputs!C26-Inputs!C25)*((9-5)/5)</f>
        <v/>
      </c>
    </row>
    <row r="12">
      <c r="B12" s="7" t="inlineStr">
        <is>
          <t>EBIT (reported)</t>
        </is>
      </c>
      <c r="C12" s="35">
        <f>C9*C11</f>
        <v/>
      </c>
      <c r="D12" s="35">
        <f>D9*D11</f>
        <v/>
      </c>
      <c r="E12" s="35">
        <f>E9*E11</f>
        <v/>
      </c>
      <c r="F12" s="35">
        <f>F9*F11</f>
        <v/>
      </c>
      <c r="G12" s="35">
        <f>G9*G11</f>
        <v/>
      </c>
      <c r="H12" s="35">
        <f>H9*H11</f>
        <v/>
      </c>
      <c r="I12" s="35">
        <f>I9*I11</f>
        <v/>
      </c>
      <c r="J12" s="35">
        <f>J9*J11</f>
        <v/>
      </c>
      <c r="K12" s="35">
        <f>K9*K11</f>
        <v/>
      </c>
      <c r="L12" s="35">
        <f>L9*L11</f>
        <v/>
      </c>
    </row>
    <row r="13">
      <c r="B13" s="7" t="inlineStr">
        <is>
          <t>R&amp;D expense</t>
        </is>
      </c>
      <c r="C13" s="35">
        <f>Inputs!C15</f>
        <v/>
      </c>
      <c r="D13" s="35">
        <f>D9*Inputs!C31</f>
        <v/>
      </c>
      <c r="E13" s="35">
        <f>E9*Inputs!C31</f>
        <v/>
      </c>
      <c r="F13" s="35">
        <f>F9*Inputs!C31</f>
        <v/>
      </c>
      <c r="G13" s="35">
        <f>G9*Inputs!C31</f>
        <v/>
      </c>
      <c r="H13" s="35">
        <f>H9*Inputs!C31</f>
        <v/>
      </c>
      <c r="I13" s="35">
        <f>I9*Inputs!C31</f>
        <v/>
      </c>
      <c r="J13" s="35">
        <f>J9*Inputs!C31</f>
        <v/>
      </c>
      <c r="K13" s="35">
        <f>K9*Inputs!C31</f>
        <v/>
      </c>
      <c r="L13" s="35">
        <f>L9*Inputs!C31</f>
        <v/>
      </c>
    </row>
    <row r="14">
      <c r="B14" s="7" t="inlineStr">
        <is>
          <t>R&amp;D amort.</t>
        </is>
      </c>
      <c r="C14" s="35">
        <f>IF(UPPER(Inputs!C58)="YES",C13/'R&amp;D Capitalization'!$C$5,0)</f>
        <v/>
      </c>
      <c r="D14" s="35">
        <f>IF(UPPER(Inputs!C58)="YES",D13/'R&amp;D Capitalization'!$C$5,0)</f>
        <v/>
      </c>
      <c r="E14" s="35">
        <f>IF(UPPER(Inputs!C58)="YES",E13/'R&amp;D Capitalization'!$C$5,0)</f>
        <v/>
      </c>
      <c r="F14" s="35">
        <f>IF(UPPER(Inputs!C58)="YES",F13/'R&amp;D Capitalization'!$C$5,0)</f>
        <v/>
      </c>
      <c r="G14" s="35">
        <f>IF(UPPER(Inputs!C58)="YES",G13/'R&amp;D Capitalization'!$C$5,0)</f>
        <v/>
      </c>
      <c r="H14" s="35">
        <f>IF(UPPER(Inputs!C58)="YES",H13/'R&amp;D Capitalization'!$C$5,0)</f>
        <v/>
      </c>
      <c r="I14" s="35">
        <f>IF(UPPER(Inputs!C58)="YES",I13/'R&amp;D Capitalization'!$C$5,0)</f>
        <v/>
      </c>
      <c r="J14" s="35">
        <f>IF(UPPER(Inputs!C58)="YES",J13/'R&amp;D Capitalization'!$C$5,0)</f>
        <v/>
      </c>
      <c r="K14" s="35">
        <f>IF(UPPER(Inputs!C58)="YES",K13/'R&amp;D Capitalization'!$C$5,0)</f>
        <v/>
      </c>
      <c r="L14" s="35">
        <f>IF(UPPER(Inputs!C58)="YES",L13/'R&amp;D Capitalization'!$C$5,0)</f>
        <v/>
      </c>
    </row>
    <row r="15">
      <c r="B15" s="7" t="inlineStr">
        <is>
          <t>Rent/lease exp.</t>
        </is>
      </c>
      <c r="C15" s="35">
        <f>Inputs!C16</f>
        <v/>
      </c>
      <c r="D15" s="35">
        <f>D9*Inputs!C32</f>
        <v/>
      </c>
      <c r="E15" s="35">
        <f>E9*Inputs!C32</f>
        <v/>
      </c>
      <c r="F15" s="35">
        <f>F9*Inputs!C32</f>
        <v/>
      </c>
      <c r="G15" s="35">
        <f>G9*Inputs!C32</f>
        <v/>
      </c>
      <c r="H15" s="35">
        <f>H9*Inputs!C32</f>
        <v/>
      </c>
      <c r="I15" s="35">
        <f>I9*Inputs!C32</f>
        <v/>
      </c>
      <c r="J15" s="35">
        <f>J9*Inputs!C32</f>
        <v/>
      </c>
      <c r="K15" s="35">
        <f>K9*Inputs!C32</f>
        <v/>
      </c>
      <c r="L15" s="35">
        <f>L9*Inputs!C32</f>
        <v/>
      </c>
    </row>
    <row r="16">
      <c r="B16" s="7" t="inlineStr">
        <is>
          <t>Lease depreciation</t>
        </is>
      </c>
      <c r="C16" s="35">
        <f>IF(UPPER(Inputs!C59)="YES",'Lease Capitalization'!C20,0)</f>
        <v/>
      </c>
      <c r="D16" s="35">
        <f>IF(UPPER(Inputs!C59)="YES",'Lease Capitalization'!C20,0)</f>
        <v/>
      </c>
      <c r="E16" s="35">
        <f>IF(UPPER(Inputs!C59)="YES",'Lease Capitalization'!C20,0)</f>
        <v/>
      </c>
      <c r="F16" s="35">
        <f>IF(UPPER(Inputs!C59)="YES",'Lease Capitalization'!C20,0)</f>
        <v/>
      </c>
      <c r="G16" s="35">
        <f>IF(UPPER(Inputs!C59)="YES",'Lease Capitalization'!C20,0)</f>
        <v/>
      </c>
      <c r="H16" s="35">
        <f>IF(UPPER(Inputs!C59)="YES",'Lease Capitalization'!C20,0)</f>
        <v/>
      </c>
      <c r="I16" s="35">
        <f>IF(UPPER(Inputs!C59)="YES",'Lease Capitalization'!C20,0)</f>
        <v/>
      </c>
      <c r="J16" s="35">
        <f>IF(UPPER(Inputs!C59)="YES",'Lease Capitalization'!C20,0)</f>
        <v/>
      </c>
      <c r="K16" s="35">
        <f>IF(UPPER(Inputs!C59)="YES",'Lease Capitalization'!C20,0)</f>
        <v/>
      </c>
      <c r="L16" s="35">
        <f>IF(UPPER(Inputs!C59)="YES",'Lease Capitalization'!C20,0)</f>
        <v/>
      </c>
    </row>
    <row r="17">
      <c r="B17" s="7" t="inlineStr">
        <is>
          <t>EBIT (adjusted)</t>
        </is>
      </c>
      <c r="C17" s="35">
        <f>C12+C13-C14+C15-C16</f>
        <v/>
      </c>
      <c r="D17" s="35">
        <f>D12+D13-D14+D15-D16</f>
        <v/>
      </c>
      <c r="E17" s="35">
        <f>E12+E13-E14+E15-E16</f>
        <v/>
      </c>
      <c r="F17" s="35">
        <f>F12+F13-F14+F15-F16</f>
        <v/>
      </c>
      <c r="G17" s="35">
        <f>G12+G13-G14+G15-G16</f>
        <v/>
      </c>
      <c r="H17" s="35">
        <f>H12+H13-H14+H15-H16</f>
        <v/>
      </c>
      <c r="I17" s="35">
        <f>I12+I13-I14+I15-I16</f>
        <v/>
      </c>
      <c r="J17" s="35">
        <f>J12+J13-J14+J15-J16</f>
        <v/>
      </c>
      <c r="K17" s="35">
        <f>K12+K13-K14+K15-K16</f>
        <v/>
      </c>
      <c r="L17" s="35">
        <f>L12+L13-L14+L15-L16</f>
        <v/>
      </c>
    </row>
    <row r="18">
      <c r="B18" s="7" t="inlineStr">
        <is>
          <t>Tax rate</t>
        </is>
      </c>
      <c r="C18" s="34">
        <f>Inputs!C27</f>
        <v/>
      </c>
      <c r="D18" s="34">
        <f>Inputs!C27</f>
        <v/>
      </c>
      <c r="E18" s="34">
        <f>Inputs!C27</f>
        <v/>
      </c>
      <c r="F18" s="34">
        <f>Inputs!C27</f>
        <v/>
      </c>
      <c r="G18" s="34">
        <f>Inputs!C27</f>
        <v/>
      </c>
      <c r="H18" s="34">
        <f>Inputs!C27</f>
        <v/>
      </c>
      <c r="I18" s="34">
        <f>Inputs!C27</f>
        <v/>
      </c>
      <c r="J18" s="34">
        <f>Inputs!C27</f>
        <v/>
      </c>
      <c r="K18" s="34">
        <f>Inputs!C27</f>
        <v/>
      </c>
      <c r="L18" s="34">
        <f>Inputs!C27</f>
        <v/>
      </c>
    </row>
    <row r="19">
      <c r="B19" s="7" t="inlineStr">
        <is>
          <t>NOPAT</t>
        </is>
      </c>
      <c r="C19" s="35">
        <f>C17*(1-C18)</f>
        <v/>
      </c>
      <c r="D19" s="35">
        <f>D17*(1-D18)</f>
        <v/>
      </c>
      <c r="E19" s="35">
        <f>E17*(1-E18)</f>
        <v/>
      </c>
      <c r="F19" s="35">
        <f>F17*(1-F18)</f>
        <v/>
      </c>
      <c r="G19" s="35">
        <f>G17*(1-G18)</f>
        <v/>
      </c>
      <c r="H19" s="35">
        <f>H17*(1-H18)</f>
        <v/>
      </c>
      <c r="I19" s="35">
        <f>I17*(1-I18)</f>
        <v/>
      </c>
      <c r="J19" s="35">
        <f>J17*(1-J18)</f>
        <v/>
      </c>
      <c r="K19" s="35">
        <f>K17*(1-K18)</f>
        <v/>
      </c>
      <c r="L19" s="35">
        <f>L17*(1-L18)</f>
        <v/>
      </c>
    </row>
    <row r="20">
      <c r="B20" s="7" t="inlineStr">
        <is>
          <t>D&amp;A</t>
        </is>
      </c>
      <c r="C20" s="35">
        <f>Inputs!C12</f>
        <v/>
      </c>
      <c r="D20" s="35">
        <f>D9*Inputs!C28</f>
        <v/>
      </c>
      <c r="E20" s="35">
        <f>E9*Inputs!C28</f>
        <v/>
      </c>
      <c r="F20" s="35">
        <f>F9*Inputs!C28</f>
        <v/>
      </c>
      <c r="G20" s="35">
        <f>G9*Inputs!C28</f>
        <v/>
      </c>
      <c r="H20" s="35">
        <f>H9*Inputs!C28</f>
        <v/>
      </c>
      <c r="I20" s="35">
        <f>I9*Inputs!C28</f>
        <v/>
      </c>
      <c r="J20" s="35">
        <f>J9*Inputs!C28</f>
        <v/>
      </c>
      <c r="K20" s="35">
        <f>K9*Inputs!C28</f>
        <v/>
      </c>
      <c r="L20" s="35">
        <f>L9*Inputs!C28</f>
        <v/>
      </c>
    </row>
    <row r="21">
      <c r="B21" s="7" t="inlineStr">
        <is>
          <t>Non‑cash addbacks</t>
        </is>
      </c>
      <c r="C21" s="35">
        <f>C20+C14+C16</f>
        <v/>
      </c>
      <c r="D21" s="35">
        <f>D20+D14+D16</f>
        <v/>
      </c>
      <c r="E21" s="35">
        <f>E20+E14+E16</f>
        <v/>
      </c>
      <c r="F21" s="35">
        <f>F20+F14+F16</f>
        <v/>
      </c>
      <c r="G21" s="35">
        <f>G20+G14+G16</f>
        <v/>
      </c>
      <c r="H21" s="35">
        <f>H20+H14+H16</f>
        <v/>
      </c>
      <c r="I21" s="35">
        <f>I20+I14+I16</f>
        <v/>
      </c>
      <c r="J21" s="35">
        <f>J20+J14+J16</f>
        <v/>
      </c>
      <c r="K21" s="35">
        <f>K20+K14+K16</f>
        <v/>
      </c>
      <c r="L21" s="35">
        <f>L20+L14+L16</f>
        <v/>
      </c>
    </row>
    <row r="22">
      <c r="B22" s="7" t="inlineStr">
        <is>
          <t>Capex (PPE)</t>
        </is>
      </c>
      <c r="C22" s="35">
        <f>Inputs!C13</f>
        <v/>
      </c>
      <c r="D22" s="35">
        <f>D9*Inputs!C29</f>
        <v/>
      </c>
      <c r="E22" s="35">
        <f>E9*Inputs!C29</f>
        <v/>
      </c>
      <c r="F22" s="35">
        <f>F9*Inputs!C29</f>
        <v/>
      </c>
      <c r="G22" s="35">
        <f>G9*Inputs!C29</f>
        <v/>
      </c>
      <c r="H22" s="35">
        <f>H9*Inputs!C29</f>
        <v/>
      </c>
      <c r="I22" s="35">
        <f>I9*Inputs!C29</f>
        <v/>
      </c>
      <c r="J22" s="35">
        <f>J9*Inputs!C29</f>
        <v/>
      </c>
      <c r="K22" s="35">
        <f>K9*Inputs!C29</f>
        <v/>
      </c>
      <c r="L22" s="35">
        <f>L9*Inputs!C29</f>
        <v/>
      </c>
    </row>
    <row r="23">
      <c r="B23" s="7" t="inlineStr">
        <is>
          <t>R&amp;D capex</t>
        </is>
      </c>
      <c r="C23" s="35">
        <f>IF(UPPER(Inputs!C58)="YES",C13,0)</f>
        <v/>
      </c>
      <c r="D23" s="35">
        <f>IF(UPPER(Inputs!C58)="YES",D13,0)</f>
        <v/>
      </c>
      <c r="E23" s="35">
        <f>IF(UPPER(Inputs!C58)="YES",E13,0)</f>
        <v/>
      </c>
      <c r="F23" s="35">
        <f>IF(UPPER(Inputs!C58)="YES",F13,0)</f>
        <v/>
      </c>
      <c r="G23" s="35">
        <f>IF(UPPER(Inputs!C58)="YES",G13,0)</f>
        <v/>
      </c>
      <c r="H23" s="35">
        <f>IF(UPPER(Inputs!C58)="YES",H13,0)</f>
        <v/>
      </c>
      <c r="I23" s="35">
        <f>IF(UPPER(Inputs!C58)="YES",I13,0)</f>
        <v/>
      </c>
      <c r="J23" s="35">
        <f>IF(UPPER(Inputs!C58)="YES",J13,0)</f>
        <v/>
      </c>
      <c r="K23" s="35">
        <f>IF(UPPER(Inputs!C58)="YES",K13,0)</f>
        <v/>
      </c>
      <c r="L23" s="35">
        <f>IF(UPPER(Inputs!C58)="YES",L13,0)</f>
        <v/>
      </c>
    </row>
    <row r="24">
      <c r="B24" s="7" t="inlineStr">
        <is>
          <t>ΔNWC</t>
        </is>
      </c>
      <c r="C24" s="35">
        <f>Inputs!C14</f>
        <v/>
      </c>
      <c r="D24" s="35">
        <f>D9*Inputs!C30</f>
        <v/>
      </c>
      <c r="E24" s="35">
        <f>E9*Inputs!C30</f>
        <v/>
      </c>
      <c r="F24" s="35">
        <f>F9*Inputs!C30</f>
        <v/>
      </c>
      <c r="G24" s="35">
        <f>G9*Inputs!C30</f>
        <v/>
      </c>
      <c r="H24" s="35">
        <f>H9*Inputs!C30</f>
        <v/>
      </c>
      <c r="I24" s="35">
        <f>I9*Inputs!C30</f>
        <v/>
      </c>
      <c r="J24" s="35">
        <f>J9*Inputs!C30</f>
        <v/>
      </c>
      <c r="K24" s="35">
        <f>K9*Inputs!C30</f>
        <v/>
      </c>
      <c r="L24" s="35">
        <f>L9*Inputs!C30</f>
        <v/>
      </c>
    </row>
    <row r="25">
      <c r="B25" s="7" t="inlineStr">
        <is>
          <t>Reinvestment</t>
        </is>
      </c>
      <c r="C25" s="35">
        <f>C22+C23+C24</f>
        <v/>
      </c>
      <c r="D25" s="35">
        <f>D22+D23+D24</f>
        <v/>
      </c>
      <c r="E25" s="35">
        <f>E22+E23+E24</f>
        <v/>
      </c>
      <c r="F25" s="35">
        <f>F22+F23+F24</f>
        <v/>
      </c>
      <c r="G25" s="35">
        <f>G22+G23+G24</f>
        <v/>
      </c>
      <c r="H25" s="35">
        <f>H22+H23+H24</f>
        <v/>
      </c>
      <c r="I25" s="35">
        <f>I22+I23+I24</f>
        <v/>
      </c>
      <c r="J25" s="35">
        <f>J22+J23+J24</f>
        <v/>
      </c>
      <c r="K25" s="35">
        <f>K22+K23+K24</f>
        <v/>
      </c>
      <c r="L25" s="35">
        <f>L22+L23+L24</f>
        <v/>
      </c>
    </row>
    <row r="26">
      <c r="B26" s="7" t="inlineStr">
        <is>
          <t>FCFF</t>
        </is>
      </c>
      <c r="C26" s="35">
        <f>C19+C21-C25</f>
        <v/>
      </c>
      <c r="D26" s="35">
        <f>D19+D21-D25</f>
        <v/>
      </c>
      <c r="E26" s="35">
        <f>E19+E21-E25</f>
        <v/>
      </c>
      <c r="F26" s="35">
        <f>F19+F21-F25</f>
        <v/>
      </c>
      <c r="G26" s="35">
        <f>G19+G21-G25</f>
        <v/>
      </c>
      <c r="H26" s="35">
        <f>H19+H21-H25</f>
        <v/>
      </c>
      <c r="I26" s="35">
        <f>I19+I21-I25</f>
        <v/>
      </c>
      <c r="J26" s="35">
        <f>J19+J21-J25</f>
        <v/>
      </c>
      <c r="K26" s="35">
        <f>K19+K21-K25</f>
        <v/>
      </c>
      <c r="L26" s="35">
        <f>L19+L21-L25</f>
        <v/>
      </c>
    </row>
    <row r="27">
      <c r="B27" s="7" t="inlineStr">
        <is>
          <t>Discount factor</t>
        </is>
      </c>
      <c r="C27" s="39" t="n"/>
      <c r="D27" s="39">
        <f>1/(1+Inputs!C43)^1</f>
        <v/>
      </c>
      <c r="E27" s="39">
        <f>1/(1+Inputs!C43)^2</f>
        <v/>
      </c>
      <c r="F27" s="39">
        <f>1/(1+Inputs!C43)^3</f>
        <v/>
      </c>
      <c r="G27" s="39">
        <f>1/(1+Inputs!C43)^4</f>
        <v/>
      </c>
      <c r="H27" s="39">
        <f>1/(1+Inputs!C43)^5</f>
        <v/>
      </c>
      <c r="I27" s="39">
        <f>1/(1+Inputs!C43)^6</f>
        <v/>
      </c>
      <c r="J27" s="39">
        <f>1/(1+Inputs!C43)^7</f>
        <v/>
      </c>
      <c r="K27" s="39">
        <f>1/(1+Inputs!C43)^8</f>
        <v/>
      </c>
      <c r="L27" s="39">
        <f>1/(1+Inputs!C43)^9</f>
        <v/>
      </c>
    </row>
    <row r="28">
      <c r="B28" s="7" t="inlineStr">
        <is>
          <t>PV of FCFF</t>
        </is>
      </c>
      <c r="C28" s="35" t="n"/>
      <c r="D28" s="35">
        <f>D26*D27</f>
        <v/>
      </c>
      <c r="E28" s="35">
        <f>E26*E27</f>
        <v/>
      </c>
      <c r="F28" s="35">
        <f>F26*F27</f>
        <v/>
      </c>
      <c r="G28" s="35">
        <f>G26*G27</f>
        <v/>
      </c>
      <c r="H28" s="35">
        <f>H26*H27</f>
        <v/>
      </c>
      <c r="I28" s="35">
        <f>I26*I27</f>
        <v/>
      </c>
      <c r="J28" s="35">
        <f>J26*J27</f>
        <v/>
      </c>
      <c r="K28" s="35">
        <f>K26*K27</f>
        <v/>
      </c>
      <c r="L28" s="35">
        <f>L26*L27</f>
        <v/>
      </c>
    </row>
    <row r="30" ht="20" customHeight="1">
      <c r="B30" s="5" t="inlineStr">
        <is>
          <t>TERMINAL VALUE &amp; EQUITY VALUE</t>
        </is>
      </c>
    </row>
    <row r="32">
      <c r="B32" s="40" t="inlineStr">
        <is>
          <t>Terminal year FCFF (Y10)</t>
        </is>
      </c>
      <c r="C32" s="41">
        <f>L26</f>
        <v/>
      </c>
    </row>
    <row r="33">
      <c r="B33" s="40" t="inlineStr">
        <is>
          <t>Terminal value</t>
        </is>
      </c>
      <c r="C33" s="41">
        <f>C32*(1+Inputs!C44)/(Inputs!C43-Inputs!C44)</f>
        <v/>
      </c>
    </row>
    <row r="34">
      <c r="B34" s="40" t="inlineStr">
        <is>
          <t>PV of terminal value</t>
        </is>
      </c>
      <c r="C34" s="41">
        <f>C33*L27</f>
        <v/>
      </c>
    </row>
    <row r="35">
      <c r="B35" s="30" t="inlineStr">
        <is>
          <t>Enterprise value (EV)</t>
        </is>
      </c>
      <c r="C35" s="42">
        <f>SUM(D28:L28)+C34</f>
        <v/>
      </c>
    </row>
    <row r="37">
      <c r="B37" s="30" t="inlineStr">
        <is>
          <t>Equity value</t>
        </is>
      </c>
      <c r="C37" s="42">
        <f>C35-Inputs!C50-Inputs!C51+Inputs!C49+Inputs!C52</f>
        <v/>
      </c>
    </row>
    <row r="38">
      <c r="B38" s="40" t="inlineStr">
        <is>
          <t>Diluted shares (mm)</t>
        </is>
      </c>
      <c r="C38" s="41">
        <f>Inputs!C55</f>
        <v/>
      </c>
    </row>
    <row r="39">
      <c r="B39" s="30" t="inlineStr">
        <is>
          <t>Implied value / share</t>
        </is>
      </c>
      <c r="C39" s="43">
        <f>C37/C38</f>
        <v/>
      </c>
    </row>
    <row r="43">
      <c r="B43" t="inlineStr" s="5">
        <is>
          <t>SCENARIO: PESSIMISTIC CASE</t>
        </is>
      </c>
    </row>
    <row r="44">
      <c r="B44" t="inlineStr" s="7">
        <is>
          <t>Uses Inputs!G20:I44 scenario controls</t>
        </is>
      </c>
    </row>
    <row r="45" ht="18" customHeight="1">
      <c r="B45" s="27" t="inlineStr"/>
      <c r="C45" s="27" t="inlineStr">
        <is>
          <t>Y0 (TTM)</t>
        </is>
      </c>
      <c r="D45" s="27" t="inlineStr">
        <is>
          <t>Y1</t>
        </is>
      </c>
      <c r="E45" s="27" t="inlineStr">
        <is>
          <t>Y2</t>
        </is>
      </c>
      <c r="F45" s="27" t="inlineStr">
        <is>
          <t>Y3</t>
        </is>
      </c>
      <c r="G45" s="27" t="inlineStr">
        <is>
          <t>Y4</t>
        </is>
      </c>
      <c r="H45" s="27" t="inlineStr">
        <is>
          <t>Y5</t>
        </is>
      </c>
      <c r="I45" s="27" t="inlineStr">
        <is>
          <t>Y6</t>
        </is>
      </c>
      <c r="J45" s="27" t="inlineStr">
        <is>
          <t>Y7</t>
        </is>
      </c>
      <c r="K45" s="27" t="inlineStr">
        <is>
          <t>Y8</t>
        </is>
      </c>
      <c r="L45" s="27" t="inlineStr">
        <is>
          <t>Y9</t>
        </is>
      </c>
      <c r="M45" s="27" t="inlineStr">
        <is>
          <t>Y10</t>
        </is>
      </c>
    </row>
    <row r="46">
      <c r="B46" s="7" t="inlineStr">
        <is>
          <t>Revenue</t>
        </is>
      </c>
      <c r="C46" s="35">
        <f>Inputs!C9</f>
        <v/>
      </c>
      <c r="D46" s="35">
        <f>C46*(1+D47)</f>
        <v/>
      </c>
      <c r="E46" s="35">
        <f>D46*(1+E47)</f>
        <v/>
      </c>
      <c r="F46" s="35">
        <f>E46*(1+F47)</f>
        <v/>
      </c>
      <c r="G46" s="35">
        <f>F46*(1+G47)</f>
        <v/>
      </c>
      <c r="H46" s="35">
        <f>G46*(1+H47)</f>
        <v/>
      </c>
      <c r="I46" s="35">
        <f>H46*(1+I47)</f>
        <v/>
      </c>
      <c r="J46" s="35">
        <f>I46*(1+J47)</f>
        <v/>
      </c>
      <c r="K46" s="35">
        <f>J46*(1+K47)</f>
        <v/>
      </c>
      <c r="L46" s="35">
        <f>K46*(1+L47)</f>
        <v/>
      </c>
    </row>
    <row r="47">
      <c r="B47" s="7" t="inlineStr">
        <is>
          <t>YoY growth</t>
        </is>
      </c>
      <c r="C47" s="34" t="n"/>
      <c r="D47" s="34">
        <f>Inputs!G20</f>
        <v/>
      </c>
      <c r="E47" s="34">
        <f>Inputs!G21</f>
        <v/>
      </c>
      <c r="F47" s="34">
        <f>Inputs!G22</f>
        <v/>
      </c>
      <c r="G47" s="34">
        <f>Inputs!G23</f>
        <v/>
      </c>
      <c r="H47" s="34">
        <f>Inputs!G24</f>
        <v/>
      </c>
      <c r="I47" s="34">
        <f>Inputs!G44 + (Inputs!G24-Inputs!G44)*((10-6)/5)</f>
        <v/>
      </c>
      <c r="J47" s="34">
        <f>Inputs!G44 + (Inputs!G24-Inputs!G44)*((10-7)/5)</f>
        <v/>
      </c>
      <c r="K47" s="34">
        <f>Inputs!G44 + (Inputs!G24-Inputs!G44)*((10-8)/5)</f>
        <v/>
      </c>
      <c r="L47" s="34">
        <f>Inputs!G44 + (Inputs!G24-Inputs!G44)*((10-9)/5)</f>
        <v/>
      </c>
    </row>
    <row r="48">
      <c r="B48" s="7" t="inlineStr">
        <is>
          <t>EBIT margin</t>
        </is>
      </c>
      <c r="C48" s="34">
        <f>IF(Inputs!C9=0,"",Inputs!C10/Inputs!C9)</f>
        <v/>
      </c>
      <c r="D48" s="34">
        <f>$C$48 + (Inputs!G25-$C$48)*(1/5)</f>
        <v/>
      </c>
      <c r="E48" s="34">
        <f>$C$48 + (Inputs!G25-$C$48)*(2/5)</f>
        <v/>
      </c>
      <c r="F48" s="34">
        <f>$C$48 + (Inputs!G25-$C$48)*(3/5)</f>
        <v/>
      </c>
      <c r="G48" s="34">
        <f>$C$48 + (Inputs!G25-$C$48)*(4/5)</f>
        <v/>
      </c>
      <c r="H48" s="34">
        <f>$C$48 + (Inputs!G25-$C$48)*(5/5)</f>
        <v/>
      </c>
      <c r="I48" s="34">
        <f>Inputs!G25 + (Inputs!G26-Inputs!G25)*((6-5)/5)</f>
        <v/>
      </c>
      <c r="J48" s="34">
        <f>Inputs!G25 + (Inputs!G26-Inputs!G25)*((7-5)/5)</f>
        <v/>
      </c>
      <c r="K48" s="34">
        <f>Inputs!G25 + (Inputs!G26-Inputs!G25)*((8-5)/5)</f>
        <v/>
      </c>
      <c r="L48" s="34">
        <f>Inputs!G25 + (Inputs!G26-Inputs!G25)*((9-5)/5)</f>
        <v/>
      </c>
    </row>
    <row r="49">
      <c r="B49" s="7" t="inlineStr">
        <is>
          <t>EBIT (reported)</t>
        </is>
      </c>
      <c r="C49" s="35">
        <f>C46*C48</f>
        <v/>
      </c>
      <c r="D49" s="35">
        <f>D46*D48</f>
        <v/>
      </c>
      <c r="E49" s="35">
        <f>E46*E48</f>
        <v/>
      </c>
      <c r="F49" s="35">
        <f>F46*F48</f>
        <v/>
      </c>
      <c r="G49" s="35">
        <f>G46*G48</f>
        <v/>
      </c>
      <c r="H49" s="35">
        <f>H46*H48</f>
        <v/>
      </c>
      <c r="I49" s="35">
        <f>I46*I48</f>
        <v/>
      </c>
      <c r="J49" s="35">
        <f>J46*J48</f>
        <v/>
      </c>
      <c r="K49" s="35">
        <f>K46*K48</f>
        <v/>
      </c>
      <c r="L49" s="35">
        <f>L46*L48</f>
        <v/>
      </c>
    </row>
    <row r="50">
      <c r="B50" s="7" t="inlineStr">
        <is>
          <t>R&amp;D expense</t>
        </is>
      </c>
      <c r="C50" s="35">
        <f>Inputs!C15</f>
        <v/>
      </c>
      <c r="D50" s="35">
        <f>D46*Inputs!G31</f>
        <v/>
      </c>
      <c r="E50" s="35">
        <f>E46*Inputs!G31</f>
        <v/>
      </c>
      <c r="F50" s="35">
        <f>F46*Inputs!G31</f>
        <v/>
      </c>
      <c r="G50" s="35">
        <f>G46*Inputs!G31</f>
        <v/>
      </c>
      <c r="H50" s="35">
        <f>H46*Inputs!G31</f>
        <v/>
      </c>
      <c r="I50" s="35">
        <f>I46*Inputs!G31</f>
        <v/>
      </c>
      <c r="J50" s="35">
        <f>J46*Inputs!G31</f>
        <v/>
      </c>
      <c r="K50" s="35">
        <f>K46*Inputs!G31</f>
        <v/>
      </c>
      <c r="L50" s="35">
        <f>L46*Inputs!G31</f>
        <v/>
      </c>
    </row>
    <row r="51">
      <c r="B51" s="7" t="inlineStr">
        <is>
          <t>R&amp;D amort.</t>
        </is>
      </c>
      <c r="C51" s="35">
        <f>IF(UPPER(Inputs!C58)="YES",C50/'R&amp;D Capitalization'!$C$5,0)</f>
        <v/>
      </c>
      <c r="D51" s="35">
        <f>IF(UPPER(Inputs!C58)="YES",D50/'R&amp;D Capitalization'!$C$5,0)</f>
        <v/>
      </c>
      <c r="E51" s="35">
        <f>IF(UPPER(Inputs!C58)="YES",E50/'R&amp;D Capitalization'!$C$5,0)</f>
        <v/>
      </c>
      <c r="F51" s="35">
        <f>IF(UPPER(Inputs!C58)="YES",F50/'R&amp;D Capitalization'!$C$5,0)</f>
        <v/>
      </c>
      <c r="G51" s="35">
        <f>IF(UPPER(Inputs!C58)="YES",G50/'R&amp;D Capitalization'!$C$5,0)</f>
        <v/>
      </c>
      <c r="H51" s="35">
        <f>IF(UPPER(Inputs!C58)="YES",H50/'R&amp;D Capitalization'!$C$5,0)</f>
        <v/>
      </c>
      <c r="I51" s="35">
        <f>IF(UPPER(Inputs!C58)="YES",I50/'R&amp;D Capitalization'!$C$5,0)</f>
        <v/>
      </c>
      <c r="J51" s="35">
        <f>IF(UPPER(Inputs!C58)="YES",J50/'R&amp;D Capitalization'!$C$5,0)</f>
        <v/>
      </c>
      <c r="K51" s="35">
        <f>IF(UPPER(Inputs!C58)="YES",K50/'R&amp;D Capitalization'!$C$5,0)</f>
        <v/>
      </c>
      <c r="L51" s="35">
        <f>IF(UPPER(Inputs!C58)="YES",L50/'R&amp;D Capitalization'!$C$5,0)</f>
        <v/>
      </c>
    </row>
    <row r="52">
      <c r="B52" s="7" t="inlineStr">
        <is>
          <t>Rent/lease exp.</t>
        </is>
      </c>
      <c r="C52" s="35">
        <f>Inputs!C16</f>
        <v/>
      </c>
      <c r="D52" s="35">
        <f>D46*Inputs!G32</f>
        <v/>
      </c>
      <c r="E52" s="35">
        <f>E46*Inputs!G32</f>
        <v/>
      </c>
      <c r="F52" s="35">
        <f>F46*Inputs!G32</f>
        <v/>
      </c>
      <c r="G52" s="35">
        <f>G46*Inputs!G32</f>
        <v/>
      </c>
      <c r="H52" s="35">
        <f>H46*Inputs!G32</f>
        <v/>
      </c>
      <c r="I52" s="35">
        <f>I46*Inputs!G32</f>
        <v/>
      </c>
      <c r="J52" s="35">
        <f>J46*Inputs!G32</f>
        <v/>
      </c>
      <c r="K52" s="35">
        <f>K46*Inputs!G32</f>
        <v/>
      </c>
      <c r="L52" s="35">
        <f>L46*Inputs!G32</f>
        <v/>
      </c>
    </row>
    <row r="53">
      <c r="B53" s="7" t="inlineStr">
        <is>
          <t>Lease depreciation</t>
        </is>
      </c>
      <c r="C53" s="35">
        <f>IF(UPPER(Inputs!C59)="YES",'Lease Capitalization'!C20,0)</f>
        <v/>
      </c>
      <c r="D53" s="35">
        <f>IF(UPPER(Inputs!C59)="YES",'Lease Capitalization'!C20,0)</f>
        <v/>
      </c>
      <c r="E53" s="35">
        <f>IF(UPPER(Inputs!C59)="YES",'Lease Capitalization'!C20,0)</f>
        <v/>
      </c>
      <c r="F53" s="35">
        <f>IF(UPPER(Inputs!C59)="YES",'Lease Capitalization'!C20,0)</f>
        <v/>
      </c>
      <c r="G53" s="35">
        <f>IF(UPPER(Inputs!C59)="YES",'Lease Capitalization'!C20,0)</f>
        <v/>
      </c>
      <c r="H53" s="35">
        <f>IF(UPPER(Inputs!C59)="YES",'Lease Capitalization'!C20,0)</f>
        <v/>
      </c>
      <c r="I53" s="35">
        <f>IF(UPPER(Inputs!C59)="YES",'Lease Capitalization'!C20,0)</f>
        <v/>
      </c>
      <c r="J53" s="35">
        <f>IF(UPPER(Inputs!C59)="YES",'Lease Capitalization'!C20,0)</f>
        <v/>
      </c>
      <c r="K53" s="35">
        <f>IF(UPPER(Inputs!C59)="YES",'Lease Capitalization'!C20,0)</f>
        <v/>
      </c>
      <c r="L53" s="35">
        <f>IF(UPPER(Inputs!C59)="YES",'Lease Capitalization'!C20,0)</f>
        <v/>
      </c>
    </row>
    <row r="54">
      <c r="B54" s="7" t="inlineStr">
        <is>
          <t>EBIT (adjusted)</t>
        </is>
      </c>
      <c r="C54" s="35">
        <f>C49+C50-C51+C52-C53</f>
        <v/>
      </c>
      <c r="D54" s="35">
        <f>D49+D50-D51+D52-D53</f>
        <v/>
      </c>
      <c r="E54" s="35">
        <f>E49+E50-E51+E52-E53</f>
        <v/>
      </c>
      <c r="F54" s="35">
        <f>F49+F50-F51+F52-F53</f>
        <v/>
      </c>
      <c r="G54" s="35">
        <f>G49+G50-G51+G52-G53</f>
        <v/>
      </c>
      <c r="H54" s="35">
        <f>H49+H50-H51+H52-H53</f>
        <v/>
      </c>
      <c r="I54" s="35">
        <f>I49+I50-I51+I52-I53</f>
        <v/>
      </c>
      <c r="J54" s="35">
        <f>J49+J50-J51+J52-J53</f>
        <v/>
      </c>
      <c r="K54" s="35">
        <f>K49+K50-K51+K52-K53</f>
        <v/>
      </c>
      <c r="L54" s="35">
        <f>L49+L50-L51+L52-L53</f>
        <v/>
      </c>
    </row>
    <row r="55">
      <c r="B55" s="7" t="inlineStr">
        <is>
          <t>Tax rate</t>
        </is>
      </c>
      <c r="C55" s="34">
        <f>Inputs!G27</f>
        <v/>
      </c>
      <c r="D55" s="34">
        <f>Inputs!G27</f>
        <v/>
      </c>
      <c r="E55" s="34">
        <f>Inputs!G27</f>
        <v/>
      </c>
      <c r="F55" s="34">
        <f>Inputs!G27</f>
        <v/>
      </c>
      <c r="G55" s="34">
        <f>Inputs!G27</f>
        <v/>
      </c>
      <c r="H55" s="34">
        <f>Inputs!G27</f>
        <v/>
      </c>
      <c r="I55" s="34">
        <f>Inputs!G27</f>
        <v/>
      </c>
      <c r="J55" s="34">
        <f>Inputs!G27</f>
        <v/>
      </c>
      <c r="K55" s="34">
        <f>Inputs!G27</f>
        <v/>
      </c>
      <c r="L55" s="34">
        <f>Inputs!G27</f>
        <v/>
      </c>
    </row>
    <row r="56">
      <c r="B56" s="7" t="inlineStr">
        <is>
          <t>NOPAT</t>
        </is>
      </c>
      <c r="C56" s="35">
        <f>C54*(1-C55)</f>
        <v/>
      </c>
      <c r="D56" s="35">
        <f>D54*(1-D55)</f>
        <v/>
      </c>
      <c r="E56" s="35">
        <f>E54*(1-E55)</f>
        <v/>
      </c>
      <c r="F56" s="35">
        <f>F54*(1-F55)</f>
        <v/>
      </c>
      <c r="G56" s="35">
        <f>G54*(1-G55)</f>
        <v/>
      </c>
      <c r="H56" s="35">
        <f>H54*(1-H55)</f>
        <v/>
      </c>
      <c r="I56" s="35">
        <f>I54*(1-I55)</f>
        <v/>
      </c>
      <c r="J56" s="35">
        <f>J54*(1-J55)</f>
        <v/>
      </c>
      <c r="K56" s="35">
        <f>K54*(1-K55)</f>
        <v/>
      </c>
      <c r="L56" s="35">
        <f>L54*(1-L55)</f>
        <v/>
      </c>
    </row>
    <row r="57">
      <c r="B57" s="7" t="inlineStr">
        <is>
          <t>D&amp;A</t>
        </is>
      </c>
      <c r="C57" s="35">
        <f>Inputs!C12</f>
        <v/>
      </c>
      <c r="D57" s="35">
        <f>D46*Inputs!G28</f>
        <v/>
      </c>
      <c r="E57" s="35">
        <f>E46*Inputs!G28</f>
        <v/>
      </c>
      <c r="F57" s="35">
        <f>F46*Inputs!G28</f>
        <v/>
      </c>
      <c r="G57" s="35">
        <f>G46*Inputs!G28</f>
        <v/>
      </c>
      <c r="H57" s="35">
        <f>H46*Inputs!G28</f>
        <v/>
      </c>
      <c r="I57" s="35">
        <f>I46*Inputs!G28</f>
        <v/>
      </c>
      <c r="J57" s="35">
        <f>J46*Inputs!G28</f>
        <v/>
      </c>
      <c r="K57" s="35">
        <f>K46*Inputs!G28</f>
        <v/>
      </c>
      <c r="L57" s="35">
        <f>L46*Inputs!G28</f>
        <v/>
      </c>
    </row>
    <row r="58">
      <c r="B58" s="7" t="inlineStr">
        <is>
          <t>Non‑cash addbacks</t>
        </is>
      </c>
      <c r="C58" s="35">
        <f>C57+C51+C53</f>
        <v/>
      </c>
      <c r="D58" s="35">
        <f>D57+D51+D53</f>
        <v/>
      </c>
      <c r="E58" s="35">
        <f>E57+E51+E53</f>
        <v/>
      </c>
      <c r="F58" s="35">
        <f>F57+F51+F53</f>
        <v/>
      </c>
      <c r="G58" s="35">
        <f>G57+G51+G53</f>
        <v/>
      </c>
      <c r="H58" s="35">
        <f>H57+H51+H53</f>
        <v/>
      </c>
      <c r="I58" s="35">
        <f>I57+I51+I53</f>
        <v/>
      </c>
      <c r="J58" s="35">
        <f>J57+J51+J53</f>
        <v/>
      </c>
      <c r="K58" s="35">
        <f>K57+K51+K53</f>
        <v/>
      </c>
      <c r="L58" s="35">
        <f>L57+L51+L53</f>
        <v/>
      </c>
    </row>
    <row r="59">
      <c r="B59" s="7" t="inlineStr">
        <is>
          <t>Capex (PPE)</t>
        </is>
      </c>
      <c r="C59" s="35">
        <f>Inputs!C13</f>
        <v/>
      </c>
      <c r="D59" s="35">
        <f>D46*Inputs!G29</f>
        <v/>
      </c>
      <c r="E59" s="35">
        <f>E46*Inputs!G29</f>
        <v/>
      </c>
      <c r="F59" s="35">
        <f>F46*Inputs!G29</f>
        <v/>
      </c>
      <c r="G59" s="35">
        <f>G46*Inputs!G29</f>
        <v/>
      </c>
      <c r="H59" s="35">
        <f>H46*Inputs!G29</f>
        <v/>
      </c>
      <c r="I59" s="35">
        <f>I46*Inputs!G29</f>
        <v/>
      </c>
      <c r="J59" s="35">
        <f>J46*Inputs!G29</f>
        <v/>
      </c>
      <c r="K59" s="35">
        <f>K46*Inputs!G29</f>
        <v/>
      </c>
      <c r="L59" s="35">
        <f>L46*Inputs!G29</f>
        <v/>
      </c>
    </row>
    <row r="60">
      <c r="B60" s="7" t="inlineStr">
        <is>
          <t>R&amp;D capex</t>
        </is>
      </c>
      <c r="C60" s="35">
        <f>IF(UPPER(Inputs!C58)="YES",C50,0)</f>
        <v/>
      </c>
      <c r="D60" s="35">
        <f>IF(UPPER(Inputs!C58)="YES",D50,0)</f>
        <v/>
      </c>
      <c r="E60" s="35">
        <f>IF(UPPER(Inputs!C58)="YES",E50,0)</f>
        <v/>
      </c>
      <c r="F60" s="35">
        <f>IF(UPPER(Inputs!C58)="YES",F50,0)</f>
        <v/>
      </c>
      <c r="G60" s="35">
        <f>IF(UPPER(Inputs!C58)="YES",G50,0)</f>
        <v/>
      </c>
      <c r="H60" s="35">
        <f>IF(UPPER(Inputs!C58)="YES",H50,0)</f>
        <v/>
      </c>
      <c r="I60" s="35">
        <f>IF(UPPER(Inputs!C58)="YES",I50,0)</f>
        <v/>
      </c>
      <c r="J60" s="35">
        <f>IF(UPPER(Inputs!C58)="YES",J50,0)</f>
        <v/>
      </c>
      <c r="K60" s="35">
        <f>IF(UPPER(Inputs!C58)="YES",K50,0)</f>
        <v/>
      </c>
      <c r="L60" s="35">
        <f>IF(UPPER(Inputs!C58)="YES",L50,0)</f>
        <v/>
      </c>
    </row>
    <row r="61">
      <c r="B61" s="7" t="inlineStr">
        <is>
          <t>ΔNWC</t>
        </is>
      </c>
      <c r="C61" s="35">
        <f>Inputs!C14</f>
        <v/>
      </c>
      <c r="D61" s="35">
        <f>D46*Inputs!G30</f>
        <v/>
      </c>
      <c r="E61" s="35">
        <f>E46*Inputs!G30</f>
        <v/>
      </c>
      <c r="F61" s="35">
        <f>F46*Inputs!G30</f>
        <v/>
      </c>
      <c r="G61" s="35">
        <f>G46*Inputs!G30</f>
        <v/>
      </c>
      <c r="H61" s="35">
        <f>H46*Inputs!G30</f>
        <v/>
      </c>
      <c r="I61" s="35">
        <f>I46*Inputs!G30</f>
        <v/>
      </c>
      <c r="J61" s="35">
        <f>J46*Inputs!G30</f>
        <v/>
      </c>
      <c r="K61" s="35">
        <f>K46*Inputs!G30</f>
        <v/>
      </c>
      <c r="L61" s="35">
        <f>L46*Inputs!G30</f>
        <v/>
      </c>
    </row>
    <row r="62">
      <c r="B62" s="7" t="inlineStr">
        <is>
          <t>Reinvestment</t>
        </is>
      </c>
      <c r="C62" s="35">
        <f>C59+C60+C61</f>
        <v/>
      </c>
      <c r="D62" s="35">
        <f>D59+D60+D61</f>
        <v/>
      </c>
      <c r="E62" s="35">
        <f>E59+E60+E61</f>
        <v/>
      </c>
      <c r="F62" s="35">
        <f>F59+F60+F61</f>
        <v/>
      </c>
      <c r="G62" s="35">
        <f>G59+G60+G61</f>
        <v/>
      </c>
      <c r="H62" s="35">
        <f>H59+H60+H61</f>
        <v/>
      </c>
      <c r="I62" s="35">
        <f>I59+I60+I61</f>
        <v/>
      </c>
      <c r="J62" s="35">
        <f>J59+J60+J61</f>
        <v/>
      </c>
      <c r="K62" s="35">
        <f>K59+K60+K61</f>
        <v/>
      </c>
      <c r="L62" s="35">
        <f>L59+L60+L61</f>
        <v/>
      </c>
    </row>
    <row r="63">
      <c r="B63" s="7" t="inlineStr">
        <is>
          <t>FCFF</t>
        </is>
      </c>
      <c r="C63" s="35">
        <f>C56+C58-C62</f>
        <v/>
      </c>
      <c r="D63" s="35">
        <f>D56+D58-D62</f>
        <v/>
      </c>
      <c r="E63" s="35">
        <f>E56+E58-E62</f>
        <v/>
      </c>
      <c r="F63" s="35">
        <f>F56+F58-F62</f>
        <v/>
      </c>
      <c r="G63" s="35">
        <f>G56+G58-G62</f>
        <v/>
      </c>
      <c r="H63" s="35">
        <f>H56+H58-H62</f>
        <v/>
      </c>
      <c r="I63" s="35">
        <f>I56+I58-I62</f>
        <v/>
      </c>
      <c r="J63" s="35">
        <f>J56+J58-J62</f>
        <v/>
      </c>
      <c r="K63" s="35">
        <f>K56+K58-K62</f>
        <v/>
      </c>
      <c r="L63" s="35">
        <f>L56+L58-L62</f>
        <v/>
      </c>
    </row>
    <row r="64">
      <c r="B64" s="7" t="inlineStr">
        <is>
          <t>Discount factor</t>
        </is>
      </c>
      <c r="C64" s="39" t="n"/>
      <c r="D64" s="39">
        <f>1/(1+Inputs!G43)^1</f>
        <v/>
      </c>
      <c r="E64" s="39">
        <f>1/(1+Inputs!G43)^2</f>
        <v/>
      </c>
      <c r="F64" s="39">
        <f>1/(1+Inputs!G43)^3</f>
        <v/>
      </c>
      <c r="G64" s="39">
        <f>1/(1+Inputs!G43)^4</f>
        <v/>
      </c>
      <c r="H64" s="39">
        <f>1/(1+Inputs!G43)^5</f>
        <v/>
      </c>
      <c r="I64" s="39">
        <f>1/(1+Inputs!G43)^6</f>
        <v/>
      </c>
      <c r="J64" s="39">
        <f>1/(1+Inputs!G43)^7</f>
        <v/>
      </c>
      <c r="K64" s="39">
        <f>1/(1+Inputs!G43)^8</f>
        <v/>
      </c>
      <c r="L64" s="39">
        <f>1/(1+Inputs!G43)^9</f>
        <v/>
      </c>
    </row>
    <row r="65">
      <c r="B65" s="7" t="inlineStr">
        <is>
          <t>PV of FCFF</t>
        </is>
      </c>
      <c r="C65" s="35" t="n"/>
      <c r="D65" s="35">
        <f>D63*D64</f>
        <v/>
      </c>
      <c r="E65" s="35">
        <f>E63*E64</f>
        <v/>
      </c>
      <c r="F65" s="35">
        <f>F63*F64</f>
        <v/>
      </c>
      <c r="G65" s="35">
        <f>G63*G64</f>
        <v/>
      </c>
      <c r="H65" s="35">
        <f>H63*H64</f>
        <v/>
      </c>
      <c r="I65" s="35">
        <f>I63*I64</f>
        <v/>
      </c>
      <c r="J65" s="35">
        <f>J63*J64</f>
        <v/>
      </c>
      <c r="K65" s="35">
        <f>K63*K64</f>
        <v/>
      </c>
      <c r="L65" s="35">
        <f>L63*L64</f>
        <v/>
      </c>
    </row>
    <row r="67" ht="20" customHeight="1">
      <c r="B67" s="5" t="inlineStr">
        <is>
          <t>TERMINAL VALUE &amp; EQUITY VALUE</t>
        </is>
      </c>
    </row>
    <row r="69">
      <c r="B69" s="40" t="inlineStr">
        <is>
          <t>Terminal year FCFF (Y10)</t>
        </is>
      </c>
      <c r="C69" s="41">
        <f>L63</f>
        <v/>
      </c>
    </row>
    <row r="70">
      <c r="B70" s="40" t="inlineStr">
        <is>
          <t>Terminal value</t>
        </is>
      </c>
      <c r="C70" s="41">
        <f>C69*(1+Inputs!G44)/(Inputs!G43-Inputs!G44)</f>
        <v/>
      </c>
    </row>
    <row r="71">
      <c r="B71" s="40" t="inlineStr">
        <is>
          <t>PV of terminal value</t>
        </is>
      </c>
      <c r="C71" s="41">
        <f>C70*L64</f>
        <v/>
      </c>
    </row>
    <row r="72">
      <c r="B72" s="30" t="inlineStr">
        <is>
          <t>Enterprise value (EV)</t>
        </is>
      </c>
      <c r="C72" s="42">
        <f>SUM(D65:L65)+C71</f>
        <v/>
      </c>
    </row>
    <row r="74">
      <c r="B74" s="30" t="inlineStr">
        <is>
          <t>Equity value</t>
        </is>
      </c>
      <c r="C74" s="42">
        <f>C72-Inputs!C50-Inputs!C51+Inputs!C49+Inputs!C52</f>
        <v/>
      </c>
    </row>
    <row r="75">
      <c r="B75" s="40" t="inlineStr">
        <is>
          <t>Diluted shares (mm)</t>
        </is>
      </c>
      <c r="C75" s="41">
        <f>Inputs!C55</f>
        <v/>
      </c>
    </row>
    <row r="76">
      <c r="B76" s="30" t="inlineStr">
        <is>
          <t>Implied value / share</t>
        </is>
      </c>
      <c r="C76" s="43">
        <f>C74/C75</f>
        <v/>
      </c>
    </row>
    <row r="80">
      <c r="B80" t="inlineStr" s="5">
        <is>
          <t>SCENARIO: OPTIMISTIC CASE</t>
        </is>
      </c>
    </row>
    <row r="81">
      <c r="B81" t="inlineStr" s="7">
        <is>
          <t>Uses Inputs!I20:I44 scenario controls</t>
        </is>
      </c>
    </row>
    <row r="82" ht="18" customHeight="1">
      <c r="B82" s="27" t="inlineStr"/>
      <c r="C82" s="27" t="inlineStr">
        <is>
          <t>Y0 (TTM)</t>
        </is>
      </c>
      <c r="D82" s="27" t="inlineStr">
        <is>
          <t>Y1</t>
        </is>
      </c>
      <c r="E82" s="27" t="inlineStr">
        <is>
          <t>Y2</t>
        </is>
      </c>
      <c r="F82" s="27" t="inlineStr">
        <is>
          <t>Y3</t>
        </is>
      </c>
      <c r="G82" s="27" t="inlineStr">
        <is>
          <t>Y4</t>
        </is>
      </c>
      <c r="H82" s="27" t="inlineStr">
        <is>
          <t>Y5</t>
        </is>
      </c>
      <c r="I82" s="27" t="inlineStr">
        <is>
          <t>Y6</t>
        </is>
      </c>
      <c r="J82" s="27" t="inlineStr">
        <is>
          <t>Y7</t>
        </is>
      </c>
      <c r="K82" s="27" t="inlineStr">
        <is>
          <t>Y8</t>
        </is>
      </c>
      <c r="L82" s="27" t="inlineStr">
        <is>
          <t>Y9</t>
        </is>
      </c>
      <c r="M82" s="27" t="inlineStr">
        <is>
          <t>Y10</t>
        </is>
      </c>
    </row>
    <row r="83">
      <c r="B83" s="7" t="inlineStr">
        <is>
          <t>Revenue</t>
        </is>
      </c>
      <c r="C83" s="35">
        <f>Inputs!C9</f>
        <v/>
      </c>
      <c r="D83" s="35">
        <f>C83*(1+D84)</f>
        <v/>
      </c>
      <c r="E83" s="35">
        <f>D83*(1+E84)</f>
        <v/>
      </c>
      <c r="F83" s="35">
        <f>E83*(1+F84)</f>
        <v/>
      </c>
      <c r="G83" s="35">
        <f>F83*(1+G84)</f>
        <v/>
      </c>
      <c r="H83" s="35">
        <f>G83*(1+H84)</f>
        <v/>
      </c>
      <c r="I83" s="35">
        <f>H83*(1+I84)</f>
        <v/>
      </c>
      <c r="J83" s="35">
        <f>I83*(1+J84)</f>
        <v/>
      </c>
      <c r="K83" s="35">
        <f>J83*(1+K84)</f>
        <v/>
      </c>
      <c r="L83" s="35">
        <f>K83*(1+L84)</f>
        <v/>
      </c>
    </row>
    <row r="84">
      <c r="B84" s="7" t="inlineStr">
        <is>
          <t>YoY growth</t>
        </is>
      </c>
      <c r="C84" s="34" t="n"/>
      <c r="D84" s="34">
        <f>Inputs!I20</f>
        <v/>
      </c>
      <c r="E84" s="34">
        <f>Inputs!I21</f>
        <v/>
      </c>
      <c r="F84" s="34">
        <f>Inputs!I22</f>
        <v/>
      </c>
      <c r="G84" s="34">
        <f>Inputs!I23</f>
        <v/>
      </c>
      <c r="H84" s="34">
        <f>Inputs!I24</f>
        <v/>
      </c>
      <c r="I84" s="34">
        <f>Inputs!I44 + (Inputs!I24-Inputs!I44)*((10-6)/5)</f>
        <v/>
      </c>
      <c r="J84" s="34">
        <f>Inputs!I44 + (Inputs!I24-Inputs!I44)*((10-7)/5)</f>
        <v/>
      </c>
      <c r="K84" s="34">
        <f>Inputs!I44 + (Inputs!I24-Inputs!I44)*((10-8)/5)</f>
        <v/>
      </c>
      <c r="L84" s="34">
        <f>Inputs!I44 + (Inputs!I24-Inputs!I44)*((10-9)/5)</f>
        <v/>
      </c>
    </row>
    <row r="85">
      <c r="B85" s="7" t="inlineStr">
        <is>
          <t>EBIT margin</t>
        </is>
      </c>
      <c r="C85" s="34">
        <f>IF(Inputs!C9=0,"",Inputs!C10/Inputs!C9)</f>
        <v/>
      </c>
      <c r="D85" s="34">
        <f>$C$85 + (Inputs!I25-$C$85)*(1/5)</f>
        <v/>
      </c>
      <c r="E85" s="34">
        <f>$C$85 + (Inputs!I25-$C$85)*(2/5)</f>
        <v/>
      </c>
      <c r="F85" s="34">
        <f>$C$85 + (Inputs!I25-$C$85)*(3/5)</f>
        <v/>
      </c>
      <c r="G85" s="34">
        <f>$C$85 + (Inputs!I25-$C$85)*(4/5)</f>
        <v/>
      </c>
      <c r="H85" s="34">
        <f>$C$85 + (Inputs!I25-$C$85)*(5/5)</f>
        <v/>
      </c>
      <c r="I85" s="34">
        <f>Inputs!I25 + (Inputs!I26-Inputs!I25)*((6-5)/5)</f>
        <v/>
      </c>
      <c r="J85" s="34">
        <f>Inputs!I25 + (Inputs!I26-Inputs!I25)*((7-5)/5)</f>
        <v/>
      </c>
      <c r="K85" s="34">
        <f>Inputs!I25 + (Inputs!I26-Inputs!I25)*((8-5)/5)</f>
        <v/>
      </c>
      <c r="L85" s="34">
        <f>Inputs!I25 + (Inputs!I26-Inputs!I25)*((9-5)/5)</f>
        <v/>
      </c>
    </row>
    <row r="86">
      <c r="B86" s="7" t="inlineStr">
        <is>
          <t>EBIT (reported)</t>
        </is>
      </c>
      <c r="C86" s="35">
        <f>C83*C85</f>
        <v/>
      </c>
      <c r="D86" s="35">
        <f>D83*D85</f>
        <v/>
      </c>
      <c r="E86" s="35">
        <f>E83*E85</f>
        <v/>
      </c>
      <c r="F86" s="35">
        <f>F83*F85</f>
        <v/>
      </c>
      <c r="G86" s="35">
        <f>G83*G85</f>
        <v/>
      </c>
      <c r="H86" s="35">
        <f>H83*H85</f>
        <v/>
      </c>
      <c r="I86" s="35">
        <f>I83*I85</f>
        <v/>
      </c>
      <c r="J86" s="35">
        <f>J83*J85</f>
        <v/>
      </c>
      <c r="K86" s="35">
        <f>K83*K85</f>
        <v/>
      </c>
      <c r="L86" s="35">
        <f>L83*L85</f>
        <v/>
      </c>
    </row>
    <row r="87">
      <c r="B87" s="7" t="inlineStr">
        <is>
          <t>R&amp;D expense</t>
        </is>
      </c>
      <c r="C87" s="35">
        <f>Inputs!C15</f>
        <v/>
      </c>
      <c r="D87" s="35">
        <f>D83*Inputs!I31</f>
        <v/>
      </c>
      <c r="E87" s="35">
        <f>E83*Inputs!I31</f>
        <v/>
      </c>
      <c r="F87" s="35">
        <f>F83*Inputs!I31</f>
        <v/>
      </c>
      <c r="G87" s="35">
        <f>G83*Inputs!I31</f>
        <v/>
      </c>
      <c r="H87" s="35">
        <f>H83*Inputs!I31</f>
        <v/>
      </c>
      <c r="I87" s="35">
        <f>I83*Inputs!I31</f>
        <v/>
      </c>
      <c r="J87" s="35">
        <f>J83*Inputs!I31</f>
        <v/>
      </c>
      <c r="K87" s="35">
        <f>K83*Inputs!I31</f>
        <v/>
      </c>
      <c r="L87" s="35">
        <f>L83*Inputs!I31</f>
        <v/>
      </c>
    </row>
    <row r="88">
      <c r="B88" s="7" t="inlineStr">
        <is>
          <t>R&amp;D amort.</t>
        </is>
      </c>
      <c r="C88" s="35">
        <f>IF(UPPER(Inputs!C58)="YES",C87/'R&amp;D Capitalization'!$C$5,0)</f>
        <v/>
      </c>
      <c r="D88" s="35">
        <f>IF(UPPER(Inputs!C58)="YES",D87/'R&amp;D Capitalization'!$C$5,0)</f>
        <v/>
      </c>
      <c r="E88" s="35">
        <f>IF(UPPER(Inputs!C58)="YES",E87/'R&amp;D Capitalization'!$C$5,0)</f>
        <v/>
      </c>
      <c r="F88" s="35">
        <f>IF(UPPER(Inputs!C58)="YES",F87/'R&amp;D Capitalization'!$C$5,0)</f>
        <v/>
      </c>
      <c r="G88" s="35">
        <f>IF(UPPER(Inputs!C58)="YES",G87/'R&amp;D Capitalization'!$C$5,0)</f>
        <v/>
      </c>
      <c r="H88" s="35">
        <f>IF(UPPER(Inputs!C58)="YES",H87/'R&amp;D Capitalization'!$C$5,0)</f>
        <v/>
      </c>
      <c r="I88" s="35">
        <f>IF(UPPER(Inputs!C58)="YES",I87/'R&amp;D Capitalization'!$C$5,0)</f>
        <v/>
      </c>
      <c r="J88" s="35">
        <f>IF(UPPER(Inputs!C58)="YES",J87/'R&amp;D Capitalization'!$C$5,0)</f>
        <v/>
      </c>
      <c r="K88" s="35">
        <f>IF(UPPER(Inputs!C58)="YES",K87/'R&amp;D Capitalization'!$C$5,0)</f>
        <v/>
      </c>
      <c r="L88" s="35">
        <f>IF(UPPER(Inputs!C58)="YES",L87/'R&amp;D Capitalization'!$C$5,0)</f>
        <v/>
      </c>
    </row>
    <row r="89">
      <c r="B89" s="7" t="inlineStr">
        <is>
          <t>Rent/lease exp.</t>
        </is>
      </c>
      <c r="C89" s="35">
        <f>Inputs!C16</f>
        <v/>
      </c>
      <c r="D89" s="35">
        <f>D83*Inputs!I32</f>
        <v/>
      </c>
      <c r="E89" s="35">
        <f>E83*Inputs!I32</f>
        <v/>
      </c>
      <c r="F89" s="35">
        <f>F83*Inputs!I32</f>
        <v/>
      </c>
      <c r="G89" s="35">
        <f>G83*Inputs!I32</f>
        <v/>
      </c>
      <c r="H89" s="35">
        <f>H83*Inputs!I32</f>
        <v/>
      </c>
      <c r="I89" s="35">
        <f>I83*Inputs!I32</f>
        <v/>
      </c>
      <c r="J89" s="35">
        <f>J83*Inputs!I32</f>
        <v/>
      </c>
      <c r="K89" s="35">
        <f>K83*Inputs!I32</f>
        <v/>
      </c>
      <c r="L89" s="35">
        <f>L83*Inputs!I32</f>
        <v/>
      </c>
    </row>
    <row r="90">
      <c r="B90" s="7" t="inlineStr">
        <is>
          <t>Lease depreciation</t>
        </is>
      </c>
      <c r="C90" s="35">
        <f>IF(UPPER(Inputs!C59)="YES",'Lease Capitalization'!C20,0)</f>
        <v/>
      </c>
      <c r="D90" s="35">
        <f>IF(UPPER(Inputs!C59)="YES",'Lease Capitalization'!C20,0)</f>
        <v/>
      </c>
      <c r="E90" s="35">
        <f>IF(UPPER(Inputs!C59)="YES",'Lease Capitalization'!C20,0)</f>
        <v/>
      </c>
      <c r="F90" s="35">
        <f>IF(UPPER(Inputs!C59)="YES",'Lease Capitalization'!C20,0)</f>
        <v/>
      </c>
      <c r="G90" s="35">
        <f>IF(UPPER(Inputs!C59)="YES",'Lease Capitalization'!C20,0)</f>
        <v/>
      </c>
      <c r="H90" s="35">
        <f>IF(UPPER(Inputs!C59)="YES",'Lease Capitalization'!C20,0)</f>
        <v/>
      </c>
      <c r="I90" s="35">
        <f>IF(UPPER(Inputs!C59)="YES",'Lease Capitalization'!C20,0)</f>
        <v/>
      </c>
      <c r="J90" s="35">
        <f>IF(UPPER(Inputs!C59)="YES",'Lease Capitalization'!C20,0)</f>
        <v/>
      </c>
      <c r="K90" s="35">
        <f>IF(UPPER(Inputs!C59)="YES",'Lease Capitalization'!C20,0)</f>
        <v/>
      </c>
      <c r="L90" s="35">
        <f>IF(UPPER(Inputs!C59)="YES",'Lease Capitalization'!C20,0)</f>
        <v/>
      </c>
    </row>
    <row r="91">
      <c r="B91" s="7" t="inlineStr">
        <is>
          <t>EBIT (adjusted)</t>
        </is>
      </c>
      <c r="C91" s="35">
        <f>C86+C87-C88+C89-C90</f>
        <v/>
      </c>
      <c r="D91" s="35">
        <f>D86+D87-D88+D89-D90</f>
        <v/>
      </c>
      <c r="E91" s="35">
        <f>E86+E87-E88+E89-E90</f>
        <v/>
      </c>
      <c r="F91" s="35">
        <f>F86+F87-F88+F89-F90</f>
        <v/>
      </c>
      <c r="G91" s="35">
        <f>G86+G87-G88+G89-G90</f>
        <v/>
      </c>
      <c r="H91" s="35">
        <f>H86+H87-H88+H89-H90</f>
        <v/>
      </c>
      <c r="I91" s="35">
        <f>I86+I87-I88+I89-I90</f>
        <v/>
      </c>
      <c r="J91" s="35">
        <f>J86+J87-J88+J89-J90</f>
        <v/>
      </c>
      <c r="K91" s="35">
        <f>K86+K87-K88+K89-K90</f>
        <v/>
      </c>
      <c r="L91" s="35">
        <f>L86+L87-L88+L89-L90</f>
        <v/>
      </c>
    </row>
    <row r="92">
      <c r="B92" s="7" t="inlineStr">
        <is>
          <t>Tax rate</t>
        </is>
      </c>
      <c r="C92" s="34">
        <f>Inputs!I27</f>
        <v/>
      </c>
      <c r="D92" s="34">
        <f>Inputs!I27</f>
        <v/>
      </c>
      <c r="E92" s="34">
        <f>Inputs!I27</f>
        <v/>
      </c>
      <c r="F92" s="34">
        <f>Inputs!I27</f>
        <v/>
      </c>
      <c r="G92" s="34">
        <f>Inputs!I27</f>
        <v/>
      </c>
      <c r="H92" s="34">
        <f>Inputs!I27</f>
        <v/>
      </c>
      <c r="I92" s="34">
        <f>Inputs!I27</f>
        <v/>
      </c>
      <c r="J92" s="34">
        <f>Inputs!I27</f>
        <v/>
      </c>
      <c r="K92" s="34">
        <f>Inputs!I27</f>
        <v/>
      </c>
      <c r="L92" s="34">
        <f>Inputs!I27</f>
        <v/>
      </c>
    </row>
    <row r="93">
      <c r="B93" s="7" t="inlineStr">
        <is>
          <t>NOPAT</t>
        </is>
      </c>
      <c r="C93" s="35">
        <f>C91*(1-C92)</f>
        <v/>
      </c>
      <c r="D93" s="35">
        <f>D91*(1-D92)</f>
        <v/>
      </c>
      <c r="E93" s="35">
        <f>E91*(1-E92)</f>
        <v/>
      </c>
      <c r="F93" s="35">
        <f>F91*(1-F92)</f>
        <v/>
      </c>
      <c r="G93" s="35">
        <f>G91*(1-G92)</f>
        <v/>
      </c>
      <c r="H93" s="35">
        <f>H91*(1-H92)</f>
        <v/>
      </c>
      <c r="I93" s="35">
        <f>I91*(1-I92)</f>
        <v/>
      </c>
      <c r="J93" s="35">
        <f>J91*(1-J92)</f>
        <v/>
      </c>
      <c r="K93" s="35">
        <f>K91*(1-K92)</f>
        <v/>
      </c>
      <c r="L93" s="35">
        <f>L91*(1-L92)</f>
        <v/>
      </c>
    </row>
    <row r="94">
      <c r="B94" s="7" t="inlineStr">
        <is>
          <t>D&amp;A</t>
        </is>
      </c>
      <c r="C94" s="35">
        <f>Inputs!C12</f>
        <v/>
      </c>
      <c r="D94" s="35">
        <f>D83*Inputs!I28</f>
        <v/>
      </c>
      <c r="E94" s="35">
        <f>E83*Inputs!I28</f>
        <v/>
      </c>
      <c r="F94" s="35">
        <f>F83*Inputs!I28</f>
        <v/>
      </c>
      <c r="G94" s="35">
        <f>G83*Inputs!I28</f>
        <v/>
      </c>
      <c r="H94" s="35">
        <f>H83*Inputs!I28</f>
        <v/>
      </c>
      <c r="I94" s="35">
        <f>I83*Inputs!I28</f>
        <v/>
      </c>
      <c r="J94" s="35">
        <f>J83*Inputs!I28</f>
        <v/>
      </c>
      <c r="K94" s="35">
        <f>K83*Inputs!I28</f>
        <v/>
      </c>
      <c r="L94" s="35">
        <f>L83*Inputs!I28</f>
        <v/>
      </c>
    </row>
    <row r="95">
      <c r="B95" s="7" t="inlineStr">
        <is>
          <t>Non‑cash addbacks</t>
        </is>
      </c>
      <c r="C95" s="35">
        <f>C94+C88+C90</f>
        <v/>
      </c>
      <c r="D95" s="35">
        <f>D94+D88+D90</f>
        <v/>
      </c>
      <c r="E95" s="35">
        <f>E94+E88+E90</f>
        <v/>
      </c>
      <c r="F95" s="35">
        <f>F94+F88+F90</f>
        <v/>
      </c>
      <c r="G95" s="35">
        <f>G94+G88+G90</f>
        <v/>
      </c>
      <c r="H95" s="35">
        <f>H94+H88+H90</f>
        <v/>
      </c>
      <c r="I95" s="35">
        <f>I94+I88+I90</f>
        <v/>
      </c>
      <c r="J95" s="35">
        <f>J94+J88+J90</f>
        <v/>
      </c>
      <c r="K95" s="35">
        <f>K94+K88+K90</f>
        <v/>
      </c>
      <c r="L95" s="35">
        <f>L94+L88+L90</f>
        <v/>
      </c>
    </row>
    <row r="96">
      <c r="B96" s="7" t="inlineStr">
        <is>
          <t>Capex (PPE)</t>
        </is>
      </c>
      <c r="C96" s="35">
        <f>Inputs!C13</f>
        <v/>
      </c>
      <c r="D96" s="35">
        <f>D83*Inputs!I29</f>
        <v/>
      </c>
      <c r="E96" s="35">
        <f>E83*Inputs!I29</f>
        <v/>
      </c>
      <c r="F96" s="35">
        <f>F83*Inputs!I29</f>
        <v/>
      </c>
      <c r="G96" s="35">
        <f>G83*Inputs!I29</f>
        <v/>
      </c>
      <c r="H96" s="35">
        <f>H83*Inputs!I29</f>
        <v/>
      </c>
      <c r="I96" s="35">
        <f>I83*Inputs!I29</f>
        <v/>
      </c>
      <c r="J96" s="35">
        <f>J83*Inputs!I29</f>
        <v/>
      </c>
      <c r="K96" s="35">
        <f>K83*Inputs!I29</f>
        <v/>
      </c>
      <c r="L96" s="35">
        <f>L83*Inputs!I29</f>
        <v/>
      </c>
    </row>
    <row r="97">
      <c r="B97" s="7" t="inlineStr">
        <is>
          <t>R&amp;D capex</t>
        </is>
      </c>
      <c r="C97" s="35">
        <f>IF(UPPER(Inputs!C58)="YES",C87,0)</f>
        <v/>
      </c>
      <c r="D97" s="35">
        <f>IF(UPPER(Inputs!C58)="YES",D87,0)</f>
        <v/>
      </c>
      <c r="E97" s="35">
        <f>IF(UPPER(Inputs!C58)="YES",E87,0)</f>
        <v/>
      </c>
      <c r="F97" s="35">
        <f>IF(UPPER(Inputs!C58)="YES",F87,0)</f>
        <v/>
      </c>
      <c r="G97" s="35">
        <f>IF(UPPER(Inputs!C58)="YES",G87,0)</f>
        <v/>
      </c>
      <c r="H97" s="35">
        <f>IF(UPPER(Inputs!C58)="YES",H87,0)</f>
        <v/>
      </c>
      <c r="I97" s="35">
        <f>IF(UPPER(Inputs!C58)="YES",I87,0)</f>
        <v/>
      </c>
      <c r="J97" s="35">
        <f>IF(UPPER(Inputs!C58)="YES",J87,0)</f>
        <v/>
      </c>
      <c r="K97" s="35">
        <f>IF(UPPER(Inputs!C58)="YES",K87,0)</f>
        <v/>
      </c>
      <c r="L97" s="35">
        <f>IF(UPPER(Inputs!C58)="YES",L87,0)</f>
        <v/>
      </c>
    </row>
    <row r="98">
      <c r="B98" s="7" t="inlineStr">
        <is>
          <t>ΔNWC</t>
        </is>
      </c>
      <c r="C98" s="35">
        <f>Inputs!C14</f>
        <v/>
      </c>
      <c r="D98" s="35">
        <f>D83*Inputs!I30</f>
        <v/>
      </c>
      <c r="E98" s="35">
        <f>E83*Inputs!I30</f>
        <v/>
      </c>
      <c r="F98" s="35">
        <f>F83*Inputs!I30</f>
        <v/>
      </c>
      <c r="G98" s="35">
        <f>G83*Inputs!I30</f>
        <v/>
      </c>
      <c r="H98" s="35">
        <f>H83*Inputs!I30</f>
        <v/>
      </c>
      <c r="I98" s="35">
        <f>I83*Inputs!I30</f>
        <v/>
      </c>
      <c r="J98" s="35">
        <f>J83*Inputs!I30</f>
        <v/>
      </c>
      <c r="K98" s="35">
        <f>K83*Inputs!I30</f>
        <v/>
      </c>
      <c r="L98" s="35">
        <f>L83*Inputs!I30</f>
        <v/>
      </c>
    </row>
    <row r="99">
      <c r="B99" s="7" t="inlineStr">
        <is>
          <t>Reinvestment</t>
        </is>
      </c>
      <c r="C99" s="35">
        <f>C96+C97+C98</f>
        <v/>
      </c>
      <c r="D99" s="35">
        <f>D96+D97+D98</f>
        <v/>
      </c>
      <c r="E99" s="35">
        <f>E96+E97+E98</f>
        <v/>
      </c>
      <c r="F99" s="35">
        <f>F96+F97+F98</f>
        <v/>
      </c>
      <c r="G99" s="35">
        <f>G96+G97+G98</f>
        <v/>
      </c>
      <c r="H99" s="35">
        <f>H96+H97+H98</f>
        <v/>
      </c>
      <c r="I99" s="35">
        <f>I96+I97+I98</f>
        <v/>
      </c>
      <c r="J99" s="35">
        <f>J96+J97+J98</f>
        <v/>
      </c>
      <c r="K99" s="35">
        <f>K96+K97+K98</f>
        <v/>
      </c>
      <c r="L99" s="35">
        <f>L96+L97+L98</f>
        <v/>
      </c>
    </row>
    <row r="100">
      <c r="B100" s="7" t="inlineStr">
        <is>
          <t>FCFF</t>
        </is>
      </c>
      <c r="C100" s="35">
        <f>C93+C95-C99</f>
        <v/>
      </c>
      <c r="D100" s="35">
        <f>D93+D95-D99</f>
        <v/>
      </c>
      <c r="E100" s="35">
        <f>E93+E95-E99</f>
        <v/>
      </c>
      <c r="F100" s="35">
        <f>F93+F95-F99</f>
        <v/>
      </c>
      <c r="G100" s="35">
        <f>G93+G95-G99</f>
        <v/>
      </c>
      <c r="H100" s="35">
        <f>H93+H95-H99</f>
        <v/>
      </c>
      <c r="I100" s="35">
        <f>I93+I95-I99</f>
        <v/>
      </c>
      <c r="J100" s="35">
        <f>J93+J95-J99</f>
        <v/>
      </c>
      <c r="K100" s="35">
        <f>K93+K95-K99</f>
        <v/>
      </c>
      <c r="L100" s="35">
        <f>L93+L95-L99</f>
        <v/>
      </c>
    </row>
    <row r="101">
      <c r="B101" s="7" t="inlineStr">
        <is>
          <t>Discount factor</t>
        </is>
      </c>
      <c r="C101" s="39" t="n"/>
      <c r="D101" s="39">
        <f>1/(1+Inputs!I43)^1</f>
        <v/>
      </c>
      <c r="E101" s="39">
        <f>1/(1+Inputs!I43)^2</f>
        <v/>
      </c>
      <c r="F101" s="39">
        <f>1/(1+Inputs!I43)^3</f>
        <v/>
      </c>
      <c r="G101" s="39">
        <f>1/(1+Inputs!I43)^4</f>
        <v/>
      </c>
      <c r="H101" s="39">
        <f>1/(1+Inputs!I43)^5</f>
        <v/>
      </c>
      <c r="I101" s="39">
        <f>1/(1+Inputs!I43)^6</f>
        <v/>
      </c>
      <c r="J101" s="39">
        <f>1/(1+Inputs!I43)^7</f>
        <v/>
      </c>
      <c r="K101" s="39">
        <f>1/(1+Inputs!I43)^8</f>
        <v/>
      </c>
      <c r="L101" s="39">
        <f>1/(1+Inputs!I43)^9</f>
        <v/>
      </c>
    </row>
    <row r="102">
      <c r="B102" s="7" t="inlineStr">
        <is>
          <t>PV of FCFF</t>
        </is>
      </c>
      <c r="C102" s="35" t="n"/>
      <c r="D102" s="35">
        <f>D100*D101</f>
        <v/>
      </c>
      <c r="E102" s="35">
        <f>E100*E101</f>
        <v/>
      </c>
      <c r="F102" s="35">
        <f>F100*F101</f>
        <v/>
      </c>
      <c r="G102" s="35">
        <f>G100*G101</f>
        <v/>
      </c>
      <c r="H102" s="35">
        <f>H100*H101</f>
        <v/>
      </c>
      <c r="I102" s="35">
        <f>I100*I101</f>
        <v/>
      </c>
      <c r="J102" s="35">
        <f>J100*J101</f>
        <v/>
      </c>
      <c r="K102" s="35">
        <f>K100*K101</f>
        <v/>
      </c>
      <c r="L102" s="35">
        <f>L100*L101</f>
        <v/>
      </c>
    </row>
    <row r="104" ht="20" customHeight="1">
      <c r="B104" s="5" t="inlineStr">
        <is>
          <t>TERMINAL VALUE &amp; EQUITY VALUE</t>
        </is>
      </c>
    </row>
    <row r="106">
      <c r="B106" s="40" t="inlineStr">
        <is>
          <t>Terminal year FCFF (Y10)</t>
        </is>
      </c>
      <c r="C106" s="41">
        <f>L100</f>
        <v/>
      </c>
    </row>
    <row r="107">
      <c r="B107" s="40" t="inlineStr">
        <is>
          <t>Terminal value</t>
        </is>
      </c>
      <c r="C107" s="41">
        <f>C106*(1+Inputs!I44)/(Inputs!I43-Inputs!I44)</f>
        <v/>
      </c>
    </row>
    <row r="108">
      <c r="B108" s="40" t="inlineStr">
        <is>
          <t>PV of terminal value</t>
        </is>
      </c>
      <c r="C108" s="41">
        <f>C107*L101</f>
        <v/>
      </c>
    </row>
    <row r="109">
      <c r="B109" s="30" t="inlineStr">
        <is>
          <t>Enterprise value (EV)</t>
        </is>
      </c>
      <c r="C109" s="42">
        <f>SUM(D102:L102)+C108</f>
        <v/>
      </c>
    </row>
    <row r="111">
      <c r="B111" s="30" t="inlineStr">
        <is>
          <t>Equity value</t>
        </is>
      </c>
      <c r="C111" s="42">
        <f>C109-Inputs!C50-Inputs!C51+Inputs!C49+Inputs!C52</f>
        <v/>
      </c>
    </row>
    <row r="112">
      <c r="B112" s="40" t="inlineStr">
        <is>
          <t>Diluted shares (mm)</t>
        </is>
      </c>
      <c r="C112" s="41">
        <f>Inputs!C55</f>
        <v/>
      </c>
    </row>
    <row r="113">
      <c r="B113" s="30" t="inlineStr">
        <is>
          <t>Implied value / share</t>
        </is>
      </c>
      <c r="C113" s="43">
        <f>C111/C112</f>
        <v/>
      </c>
    </row>
    <row r="116">
      <c r="B116" t="inlineStr" s="5">
        <is>
          <t>SCENARIO WEIGHTED SUMMARY</t>
        </is>
      </c>
    </row>
    <row r="117">
      <c r="B117" t="inlineStr" s="30">
        <is>
          <t>Pessimistic value / share</t>
        </is>
      </c>
      <c r="C117" s="43">
        <f>C76</f>
        <v/>
      </c>
    </row>
    <row r="118">
      <c r="B118" t="inlineStr" s="30">
        <is>
          <t>Neutral value / share</t>
        </is>
      </c>
      <c r="C118" s="43">
        <f>C39</f>
        <v/>
      </c>
    </row>
    <row r="119">
      <c r="B119" t="inlineStr" s="30">
        <is>
          <t>Optimistic value / share</t>
        </is>
      </c>
      <c r="C119" s="43">
        <f>C113</f>
        <v/>
      </c>
    </row>
    <row r="120">
      <c r="B120" t="inlineStr" s="30">
        <is>
          <t>Weight sum</t>
        </is>
      </c>
      <c r="C120" s="51">
        <f>SUM(Inputs!G63:I63)</f>
        <v/>
      </c>
    </row>
    <row r="121">
      <c r="B121" t="inlineStr" s="30">
        <is>
          <t>Weighted value / share</t>
        </is>
      </c>
      <c r="C121" s="43">
        <f>C117*Inputs!G63 + C118*Inputs!H63 + C119*Inputs!I63</f>
        <v/>
      </c>
    </row>
    <row r="122">
      <c r="B122" t="inlineStr" s="30">
        <is>
          <t>Weighted equity value</t>
        </is>
      </c>
      <c r="C122" s="50">
        <f>C74*Inputs!G63 + C37*Inputs!H63 + C111*Inputs!I63</f>
        <v/>
      </c>
    </row>
    <row r="123">
      <c r="B123" t="inlineStr" s="30">
        <is>
          <t>Weighted enterprise value</t>
        </is>
      </c>
      <c r="C123" s="50">
        <f>C72*Inputs!G63 + C35*Inputs!H63 + C109*Inputs!I63</f>
        <v/>
      </c>
    </row>
  </sheetData>
  <mergeCells count="2">
    <mergeCell ref="B2:L2"/>
    <mergeCell ref="B30:L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1"/>
  <sheetViews>
    <sheetView showGridLines="0" zoomScale="11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20" customHeight="1">
      <c r="B2" s="5" t="inlineStr">
        <is>
          <t>SENSITIVITY — Value/Share vs WACC and Terminal g</t>
        </is>
      </c>
    </row>
    <row r="4">
      <c r="B4" s="24" t="inlineStr">
        <is>
          <t>Base value/share</t>
        </is>
      </c>
      <c r="C4" s="44">
        <f>DCF!C39</f>
        <v/>
      </c>
    </row>
    <row r="6">
      <c r="B6" s="45" t="inlineStr">
        <is>
          <t>WACC \ g</t>
        </is>
      </c>
      <c r="C6" s="46" t="n">
        <v>0.015</v>
      </c>
      <c r="D6" s="46" t="n">
        <v>0.02</v>
      </c>
      <c r="E6" s="46" t="n">
        <v>0.025</v>
      </c>
      <c r="F6" s="46" t="n">
        <v>0.03</v>
      </c>
      <c r="G6" s="46" t="n">
        <v>0.035</v>
      </c>
    </row>
    <row r="7">
      <c r="B7" s="46" t="n">
        <v>0.07000000000000001</v>
      </c>
      <c r="C7" s="24" t="inlineStr">
        <is>
          <t>(populate via agent scenario sweep)</t>
        </is>
      </c>
      <c r="D7" s="24" t="inlineStr">
        <is>
          <t>(populate via agent scenario sweep)</t>
        </is>
      </c>
      <c r="E7" s="24" t="inlineStr">
        <is>
          <t>(populate via agent scenario sweep)</t>
        </is>
      </c>
      <c r="F7" s="24" t="inlineStr">
        <is>
          <t>(populate via agent scenario sweep)</t>
        </is>
      </c>
      <c r="G7" s="24" t="inlineStr">
        <is>
          <t>(populate via agent scenario sweep)</t>
        </is>
      </c>
    </row>
    <row r="8">
      <c r="B8" s="46" t="n">
        <v>0.08</v>
      </c>
      <c r="C8" s="24" t="inlineStr">
        <is>
          <t>(populate via agent scenario sweep)</t>
        </is>
      </c>
      <c r="D8" s="24" t="inlineStr">
        <is>
          <t>(populate via agent scenario sweep)</t>
        </is>
      </c>
      <c r="E8" s="24" t="inlineStr">
        <is>
          <t>(populate via agent scenario sweep)</t>
        </is>
      </c>
      <c r="F8" s="24" t="inlineStr">
        <is>
          <t>(populate via agent scenario sweep)</t>
        </is>
      </c>
      <c r="G8" s="24" t="inlineStr">
        <is>
          <t>(populate via agent scenario sweep)</t>
        </is>
      </c>
    </row>
    <row r="9">
      <c r="B9" s="46" t="n">
        <v>0.09</v>
      </c>
      <c r="C9" s="24" t="inlineStr">
        <is>
          <t>(populate via agent scenario sweep)</t>
        </is>
      </c>
      <c r="D9" s="24" t="inlineStr">
        <is>
          <t>(populate via agent scenario sweep)</t>
        </is>
      </c>
      <c r="E9" s="24" t="inlineStr">
        <is>
          <t>(populate via agent scenario sweep)</t>
        </is>
      </c>
      <c r="F9" s="24" t="inlineStr">
        <is>
          <t>(populate via agent scenario sweep)</t>
        </is>
      </c>
      <c r="G9" s="24" t="inlineStr">
        <is>
          <t>(populate via agent scenario sweep)</t>
        </is>
      </c>
    </row>
    <row r="10">
      <c r="B10" s="46" t="n">
        <v>0.1</v>
      </c>
      <c r="C10" s="24" t="inlineStr">
        <is>
          <t>(populate via agent scenario sweep)</t>
        </is>
      </c>
      <c r="D10" s="24" t="inlineStr">
        <is>
          <t>(populate via agent scenario sweep)</t>
        </is>
      </c>
      <c r="E10" s="24" t="inlineStr">
        <is>
          <t>(populate via agent scenario sweep)</t>
        </is>
      </c>
      <c r="F10" s="24" t="inlineStr">
        <is>
          <t>(populate via agent scenario sweep)</t>
        </is>
      </c>
      <c r="G10" s="24" t="inlineStr">
        <is>
          <t>(populate via agent scenario sweep)</t>
        </is>
      </c>
    </row>
    <row r="11">
      <c r="B11" s="46" t="n">
        <v>0.11</v>
      </c>
      <c r="C11" s="24" t="inlineStr">
        <is>
          <t>(populate via agent scenario sweep)</t>
        </is>
      </c>
      <c r="D11" s="24" t="inlineStr">
        <is>
          <t>(populate via agent scenario sweep)</t>
        </is>
      </c>
      <c r="E11" s="24" t="inlineStr">
        <is>
          <t>(populate via agent scenario sweep)</t>
        </is>
      </c>
      <c r="F11" s="24" t="inlineStr">
        <is>
          <t>(populate via agent scenario sweep)</t>
        </is>
      </c>
      <c r="G11" s="24" t="inlineStr">
        <is>
          <t>(populate via agent scenario sweep)</t>
        </is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zoomScale="11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2" ht="20" customHeight="1">
      <c r="B2" s="5" t="inlineStr">
        <is>
          <t>TRADING COMPS (stub) — agent populates peers + multiples</t>
        </is>
      </c>
    </row>
    <row r="4">
      <c r="B4" s="24" t="inlineStr">
        <is>
          <t>Target revenue (TTM)</t>
        </is>
      </c>
      <c r="C4" s="47">
        <f>Inputs!C9</f>
        <v/>
      </c>
    </row>
    <row r="5">
      <c r="B5" s="24" t="inlineStr">
        <is>
          <t>Target EBIT (TTM)</t>
        </is>
      </c>
      <c r="C5" s="47">
        <f>Inputs!C10</f>
        <v/>
      </c>
    </row>
    <row r="7" ht="18" customHeight="1">
      <c r="B7" s="27" t="inlineStr">
        <is>
          <t>Ticker</t>
        </is>
      </c>
      <c r="C7" s="27" t="inlineStr">
        <is>
          <t>Company</t>
        </is>
      </c>
      <c r="D7" s="27" t="inlineStr">
        <is>
          <t>EV/EBIT</t>
        </is>
      </c>
      <c r="E7" s="27" t="inlineStr">
        <is>
          <t>EV/Revenue</t>
        </is>
      </c>
      <c r="F7" s="27" t="inlineStr">
        <is>
          <t>P/E</t>
        </is>
      </c>
      <c r="G7" s="27" t="inlineStr">
        <is>
          <t>Notes</t>
        </is>
      </c>
    </row>
    <row r="8">
      <c r="B8" s="9" t="n"/>
      <c r="C8" s="9" t="n"/>
      <c r="D8" s="8" t="n"/>
      <c r="E8" s="8" t="n"/>
      <c r="F8" s="8" t="n"/>
      <c r="G8" s="9" t="n"/>
    </row>
    <row r="9">
      <c r="B9" s="9" t="n"/>
      <c r="C9" s="9" t="n"/>
      <c r="D9" s="8" t="n"/>
      <c r="E9" s="8" t="n"/>
      <c r="F9" s="8" t="n"/>
      <c r="G9" s="9" t="n"/>
    </row>
    <row r="10">
      <c r="B10" s="9" t="n"/>
      <c r="C10" s="9" t="n"/>
      <c r="D10" s="8" t="n"/>
      <c r="E10" s="8" t="n"/>
      <c r="F10" s="8" t="n"/>
      <c r="G10" s="9" t="n"/>
    </row>
    <row r="11">
      <c r="B11" s="9" t="n"/>
      <c r="C11" s="9" t="n"/>
      <c r="D11" s="8" t="n"/>
      <c r="E11" s="8" t="n"/>
      <c r="F11" s="8" t="n"/>
      <c r="G11" s="9" t="n"/>
    </row>
    <row r="12">
      <c r="B12" s="9" t="n"/>
      <c r="C12" s="9" t="n"/>
      <c r="D12" s="8" t="n"/>
      <c r="E12" s="8" t="n"/>
      <c r="F12" s="8" t="n"/>
      <c r="G12" s="9" t="n"/>
    </row>
    <row r="13">
      <c r="B13" s="9" t="n"/>
      <c r="C13" s="9" t="n"/>
      <c r="D13" s="8" t="n"/>
      <c r="E13" s="8" t="n"/>
      <c r="F13" s="8" t="n"/>
      <c r="G13" s="9" t="n"/>
    </row>
    <row r="14">
      <c r="B14" s="9" t="n"/>
      <c r="C14" s="9" t="n"/>
      <c r="D14" s="8" t="n"/>
      <c r="E14" s="8" t="n"/>
      <c r="F14" s="8" t="n"/>
      <c r="G14" s="9" t="n"/>
    </row>
    <row r="15">
      <c r="B15" s="9" t="n"/>
      <c r="C15" s="9" t="n"/>
      <c r="D15" s="8" t="n"/>
      <c r="E15" s="8" t="n"/>
      <c r="F15" s="8" t="n"/>
      <c r="G15" s="9" t="n"/>
    </row>
    <row r="16">
      <c r="B16" s="9" t="n"/>
      <c r="C16" s="9" t="n"/>
      <c r="D16" s="8" t="n"/>
      <c r="E16" s="8" t="n"/>
      <c r="F16" s="8" t="n"/>
      <c r="G16" s="9" t="n"/>
    </row>
    <row r="17">
      <c r="B17" s="9" t="n"/>
      <c r="C17" s="9" t="n"/>
      <c r="D17" s="8" t="n"/>
      <c r="E17" s="8" t="n"/>
      <c r="F17" s="8" t="n"/>
      <c r="G17" s="9" t="n"/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zoomScale="11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70" customWidth="1" min="4" max="4"/>
  </cols>
  <sheetData>
    <row r="2" ht="20" customHeight="1">
      <c r="B2" s="5" t="inlineStr">
        <is>
          <t>CHECKS — must have NO FAIL before publishing</t>
        </is>
      </c>
    </row>
    <row r="4" ht="18" customHeight="1">
      <c r="B4" s="27" t="inlineStr">
        <is>
          <t>Check</t>
        </is>
      </c>
      <c r="C4" s="27" t="inlineStr">
        <is>
          <t>Status</t>
        </is>
      </c>
      <c r="D4" s="27" t="inlineStr">
        <is>
          <t>Notes</t>
        </is>
      </c>
    </row>
    <row r="5">
      <c r="B5" s="7" t="inlineStr">
        <is>
          <t>Terminal g ≤ rf</t>
        </is>
      </c>
      <c r="C5" s="22">
        <f>IF(Inputs!C44&lt;=Inputs!C37,"PASS","FAIL")</f>
        <v/>
      </c>
      <c r="D5" s="7" t="inlineStr">
        <is>
          <t>Long‑run constraint.</t>
        </is>
      </c>
    </row>
    <row r="6">
      <c r="B6" s="7" t="inlineStr">
        <is>
          <t>WACC &gt; g</t>
        </is>
      </c>
      <c r="C6" s="22">
        <f>IF(Inputs!C43&gt;Inputs!C44,"PASS","FAIL")</f>
        <v/>
      </c>
      <c r="D6" s="7" t="inlineStr">
        <is>
          <t>DCF math requires WACC &gt; g.</t>
        </is>
      </c>
    </row>
    <row r="7">
      <c r="B7" s="7" t="inlineStr">
        <is>
          <t>Diluted shares ≥ basic</t>
        </is>
      </c>
      <c r="C7" s="22">
        <f>IF(Inputs!C55&gt;=Inputs!C53,"PASS","FAIL")</f>
        <v/>
      </c>
      <c r="D7" s="7" t="inlineStr">
        <is>
          <t>Check TSM table.</t>
        </is>
      </c>
    </row>
    <row r="8">
      <c r="B8" s="7" t="inlineStr">
        <is>
          <t>Capex% ≥ 0</t>
        </is>
      </c>
      <c r="C8" s="22">
        <f>IF(Inputs!C29&gt;=0,"PASS","FAIL")</f>
        <v/>
      </c>
      <c r="D8" s="7" t="inlineStr">
        <is>
          <t>Capex% must be non‑negative.</t>
        </is>
      </c>
    </row>
    <row r="9">
      <c r="B9" s="7" t="inlineStr">
        <is>
          <t>Output exists</t>
        </is>
      </c>
      <c r="C9" s="22">
        <f>IFERROR(IF(DCF!C39&gt;0,"PASS","REVIEW"),"FAIL")</f>
        <v/>
      </c>
      <c r="D9" s="7" t="inlineStr">
        <is>
          <t>Fill missing inputs if FAIL.</t>
        </is>
      </c>
    </row>
    <row r="10">
      <c r="B10" t="inlineStr" s="7">
        <is>
          <t>Scenario weights sum = 100%</t>
        </is>
      </c>
      <c r="C10" s="22">
        <f>IF(ABS(Inputs!G64-1)&lt;0.0001,"PASS","FAIL")</f>
        <v/>
      </c>
      <c r="D10" t="inlineStr" s="7">
        <is>
          <t>Required for weighted valuation.</t>
        </is>
      </c>
    </row>
    <row r="11">
      <c r="B11" t="inlineStr" s="7">
        <is>
          <t>Pessimistic WACC &gt; g</t>
        </is>
      </c>
      <c r="C11" s="22">
        <f>IF(Inputs!G43&gt;Inputs!G44,"PASS","FAIL")</f>
        <v/>
      </c>
      <c r="D11" t="inlineStr" s="7">
        <is>
          <t>Scenario hard constraint.</t>
        </is>
      </c>
    </row>
    <row r="12">
      <c r="B12" t="inlineStr" s="7">
        <is>
          <t>Neutral WACC &gt; g</t>
        </is>
      </c>
      <c r="C12" s="22">
        <f>IF(Inputs!C43&gt;Inputs!C44,"PASS","FAIL")</f>
        <v/>
      </c>
      <c r="D12" t="inlineStr" s="7">
        <is>
          <t>Scenario hard constraint.</t>
        </is>
      </c>
    </row>
    <row r="13">
      <c r="B13" t="inlineStr" s="7">
        <is>
          <t>Optimistic WACC &gt; g</t>
        </is>
      </c>
      <c r="C13" s="22">
        <f>IF(Inputs!I43&gt;Inputs!I44,"PASS","FAIL")</f>
        <v/>
      </c>
      <c r="D13" t="inlineStr" s="7">
        <is>
          <t>Scenario hard constraint.</t>
        </is>
      </c>
    </row>
    <row r="14">
      <c r="B14" t="inlineStr" s="7">
        <is>
          <t>Pessimistic g &lt;= rf</t>
        </is>
      </c>
      <c r="C14" s="22">
        <f>IF(Inputs!G44&lt;=Inputs!G37,"PASS","FAIL")</f>
        <v/>
      </c>
      <c r="D14" t="inlineStr" s="7">
        <is>
          <t>Long-run scenario constraint.</t>
        </is>
      </c>
    </row>
    <row r="15">
      <c r="B15" t="inlineStr" s="7">
        <is>
          <t>Neutral g &lt;= rf</t>
        </is>
      </c>
      <c r="C15" s="22">
        <f>IF(Inputs!C44&lt;=Inputs!C37,"PASS","FAIL")</f>
        <v/>
      </c>
      <c r="D15" t="inlineStr" s="7">
        <is>
          <t>Long-run scenario constraint.</t>
        </is>
      </c>
    </row>
    <row r="16">
      <c r="B16" t="inlineStr" s="7">
        <is>
          <t>Optimistic g &lt;= rf</t>
        </is>
      </c>
      <c r="C16" s="22">
        <f>IF(Inputs!I44&lt;=Inputs!I37,"PASS","FAIL")</f>
        <v/>
      </c>
      <c r="D16" t="inlineStr" s="7">
        <is>
          <t>Long-run scenario constraint.</t>
        </is>
      </c>
    </row>
    <row r="17">
      <c r="B17" t="inlineStr" s="7">
        <is>
          <t>Weighted output exists</t>
        </is>
      </c>
      <c r="C17" s="22">
        <f>IFERROR(IF(Output!C6&gt;0,"PASS","REVIEW"),"FAIL")</f>
        <v/>
      </c>
      <c r="D17" t="inlineStr" s="7">
        <is>
          <t>Must exist before memo publish.</t>
        </is>
      </c>
    </row>
  </sheetData>
  <mergeCells count="1"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zoomScale="11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48" customWidth="1" min="4" max="4"/>
    <col width="18" customWidth="1" min="5" max="5"/>
    <col width="60" customWidth="1" min="6" max="6"/>
  </cols>
  <sheetData>
    <row r="2" ht="20" customHeight="1">
      <c r="B2" s="5" t="inlineStr">
        <is>
          <t>DATA PROVENANCE — agent must write sources + dates</t>
        </is>
      </c>
    </row>
    <row r="4">
      <c r="B4" s="15" t="inlineStr">
        <is>
          <t>Record source type, URL, as‑of date, and transforms (TTM calc, normalization).</t>
        </is>
      </c>
    </row>
    <row r="6" ht="18" customHeight="1">
      <c r="B6" s="27" t="inlineStr">
        <is>
          <t>Field / Block</t>
        </is>
      </c>
      <c r="C6" s="27" t="inlineStr">
        <is>
          <t>Source Type</t>
        </is>
      </c>
      <c r="D6" s="27" t="inlineStr">
        <is>
          <t>Dataset / Doc</t>
        </is>
      </c>
      <c r="E6" s="27" t="inlineStr">
        <is>
          <t>URL</t>
        </is>
      </c>
      <c r="F6" s="27" t="inlineStr">
        <is>
          <t>As‑of date</t>
        </is>
      </c>
      <c r="G6" s="27" t="inlineStr">
        <is>
          <t>Notes</t>
        </is>
      </c>
    </row>
    <row r="7">
      <c r="B7" s="7" t="n"/>
      <c r="C7" s="9" t="n"/>
      <c r="D7" s="9" t="n"/>
      <c r="E7" s="23" t="n"/>
      <c r="F7" s="9" t="n"/>
      <c r="G7" s="7" t="n"/>
    </row>
    <row r="8">
      <c r="B8" s="7" t="n"/>
      <c r="C8" s="9" t="n"/>
      <c r="D8" s="9" t="n"/>
      <c r="E8" s="23" t="n"/>
      <c r="F8" s="9" t="n"/>
      <c r="G8" s="7" t="n"/>
    </row>
    <row r="9">
      <c r="B9" s="7" t="n"/>
      <c r="C9" s="9" t="n"/>
      <c r="D9" s="9" t="n"/>
      <c r="E9" s="23" t="n"/>
      <c r="F9" s="9" t="n"/>
      <c r="G9" s="7" t="n"/>
    </row>
    <row r="10">
      <c r="B10" s="7" t="n"/>
      <c r="C10" s="9" t="n"/>
      <c r="D10" s="9" t="n"/>
      <c r="E10" s="23" t="n"/>
      <c r="F10" s="9" t="n"/>
      <c r="G10" s="7" t="n"/>
    </row>
    <row r="11">
      <c r="B11" s="7" t="n"/>
      <c r="C11" s="9" t="n"/>
      <c r="D11" s="9" t="n"/>
      <c r="E11" s="23" t="n"/>
      <c r="F11" s="9" t="n"/>
      <c r="G11" s="7" t="n"/>
    </row>
    <row r="12">
      <c r="B12" s="7" t="n"/>
      <c r="C12" s="9" t="n"/>
      <c r="D12" s="9" t="n"/>
      <c r="E12" s="23" t="n"/>
      <c r="F12" s="9" t="n"/>
      <c r="G12" s="7" t="n"/>
    </row>
    <row r="13">
      <c r="B13" s="7" t="n"/>
      <c r="C13" s="9" t="n"/>
      <c r="D13" s="9" t="n"/>
      <c r="E13" s="23" t="n"/>
      <c r="F13" s="9" t="n"/>
      <c r="G13" s="7" t="n"/>
    </row>
    <row r="14">
      <c r="B14" s="7" t="n"/>
      <c r="C14" s="9" t="n"/>
      <c r="D14" s="9" t="n"/>
      <c r="E14" s="23" t="n"/>
      <c r="F14" s="9" t="n"/>
      <c r="G14" s="7" t="n"/>
    </row>
    <row r="15">
      <c r="B15" s="7" t="n"/>
      <c r="C15" s="9" t="n"/>
      <c r="D15" s="9" t="n"/>
      <c r="E15" s="23" t="n"/>
      <c r="F15" s="9" t="n"/>
      <c r="G15" s="7" t="n"/>
    </row>
    <row r="16">
      <c r="B16" s="7" t="n"/>
      <c r="C16" s="9" t="n"/>
      <c r="D16" s="9" t="n"/>
      <c r="E16" s="23" t="n"/>
      <c r="F16" s="9" t="n"/>
      <c r="G16" s="7" t="n"/>
    </row>
    <row r="17">
      <c r="B17" s="7" t="n"/>
      <c r="C17" s="9" t="n"/>
      <c r="D17" s="9" t="n"/>
      <c r="E17" s="23" t="n"/>
      <c r="F17" s="9" t="n"/>
      <c r="G17" s="7" t="n"/>
    </row>
    <row r="18">
      <c r="B18" s="7" t="n"/>
      <c r="C18" s="9" t="n"/>
      <c r="D18" s="9" t="n"/>
      <c r="E18" s="23" t="n"/>
      <c r="F18" s="9" t="n"/>
      <c r="G18" s="7" t="n"/>
    </row>
    <row r="19">
      <c r="B19" s="7" t="n"/>
      <c r="C19" s="9" t="n"/>
      <c r="D19" s="9" t="n"/>
      <c r="E19" s="23" t="n"/>
      <c r="F19" s="9" t="n"/>
      <c r="G19" s="7" t="n"/>
    </row>
    <row r="20">
      <c r="B20" s="7" t="n"/>
      <c r="C20" s="9" t="n"/>
      <c r="D20" s="9" t="n"/>
      <c r="E20" s="23" t="n"/>
      <c r="F20" s="9" t="n"/>
      <c r="G20" s="7" t="n"/>
    </row>
    <row r="21">
      <c r="B21" s="7" t="n"/>
      <c r="C21" s="9" t="n"/>
      <c r="D21" s="9" t="n"/>
      <c r="E21" s="23" t="n"/>
      <c r="F21" s="9" t="n"/>
      <c r="G21" s="7" t="n"/>
    </row>
    <row r="22">
      <c r="B22" s="7" t="n"/>
      <c r="C22" s="9" t="n"/>
      <c r="D22" s="9" t="n"/>
      <c r="E22" s="23" t="n"/>
      <c r="F22" s="9" t="n"/>
      <c r="G22" s="7" t="n"/>
    </row>
    <row r="23">
      <c r="B23" s="7" t="n"/>
      <c r="C23" s="9" t="n"/>
      <c r="D23" s="9" t="n"/>
      <c r="E23" s="23" t="n"/>
      <c r="F23" s="9" t="n"/>
      <c r="G23" s="7" t="n"/>
    </row>
    <row r="24">
      <c r="B24" s="7" t="n"/>
      <c r="C24" s="9" t="n"/>
      <c r="D24" s="9" t="n"/>
      <c r="E24" s="23" t="n"/>
      <c r="F24" s="9" t="n"/>
      <c r="G24" s="7" t="n"/>
    </row>
    <row r="25">
      <c r="B25" s="7" t="n"/>
      <c r="C25" s="9" t="n"/>
      <c r="D25" s="9" t="n"/>
      <c r="E25" s="23" t="n"/>
      <c r="F25" s="9" t="n"/>
      <c r="G25" s="7" t="n"/>
    </row>
    <row r="26">
      <c r="B26" s="7" t="n"/>
      <c r="C26" s="9" t="n"/>
      <c r="D26" s="9" t="n"/>
      <c r="E26" s="23" t="n"/>
      <c r="F26" s="9" t="n"/>
      <c r="G26" s="7" t="n"/>
    </row>
    <row r="27">
      <c r="B27" s="7" t="n"/>
      <c r="C27" s="9" t="n"/>
      <c r="D27" s="9" t="n"/>
      <c r="E27" s="23" t="n"/>
      <c r="F27" s="9" t="n"/>
      <c r="G27" s="7" t="n"/>
    </row>
    <row r="28">
      <c r="B28" s="7" t="n"/>
      <c r="C28" s="9" t="n"/>
      <c r="D28" s="9" t="n"/>
      <c r="E28" s="23" t="n"/>
      <c r="F28" s="9" t="n"/>
      <c r="G28" s="7" t="n"/>
    </row>
    <row r="29">
      <c r="B29" s="7" t="n"/>
      <c r="C29" s="9" t="n"/>
      <c r="D29" s="9" t="n"/>
      <c r="E29" s="23" t="n"/>
      <c r="F29" s="9" t="n"/>
      <c r="G29" s="7" t="n"/>
    </row>
    <row r="30">
      <c r="B30" s="7" t="n"/>
      <c r="C30" s="9" t="n"/>
      <c r="D30" s="9" t="n"/>
      <c r="E30" s="23" t="n"/>
      <c r="F30" s="9" t="n"/>
      <c r="G30" s="7" t="n"/>
    </row>
    <row r="31">
      <c r="B31" s="7" t="n"/>
      <c r="C31" s="9" t="n"/>
      <c r="D31" s="9" t="n"/>
      <c r="E31" s="23" t="n"/>
      <c r="F31" s="9" t="n"/>
      <c r="G31" s="7" t="n"/>
    </row>
    <row r="32">
      <c r="B32" s="7" t="n"/>
      <c r="C32" s="9" t="n"/>
      <c r="D32" s="9" t="n"/>
      <c r="E32" s="23" t="n"/>
      <c r="F32" s="9" t="n"/>
      <c r="G32" s="7" t="n"/>
    </row>
    <row r="33">
      <c r="B33" s="7" t="n"/>
      <c r="C33" s="9" t="n"/>
      <c r="D33" s="9" t="n"/>
      <c r="E33" s="23" t="n"/>
      <c r="F33" s="9" t="n"/>
      <c r="G33" s="7" t="n"/>
    </row>
    <row r="34">
      <c r="B34" s="7" t="n"/>
      <c r="C34" s="9" t="n"/>
      <c r="D34" s="9" t="n"/>
      <c r="E34" s="23" t="n"/>
      <c r="F34" s="9" t="n"/>
      <c r="G34" s="7" t="n"/>
    </row>
    <row r="35">
      <c r="B35" s="7" t="n"/>
      <c r="C35" s="9" t="n"/>
      <c r="D35" s="9" t="n"/>
      <c r="E35" s="23" t="n"/>
      <c r="F35" s="9" t="n"/>
      <c r="G35" s="7" t="n"/>
    </row>
    <row r="36">
      <c r="B36" s="7" t="n"/>
      <c r="C36" s="9" t="n"/>
      <c r="D36" s="9" t="n"/>
      <c r="E36" s="23" t="n"/>
      <c r="F36" s="9" t="n"/>
      <c r="G36" s="7" t="n"/>
    </row>
  </sheetData>
  <mergeCells count="1">
    <mergeCell ref="B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6" customWidth="1" min="3" max="3"/>
  </cols>
  <sheetData>
    <row r="2">
      <c r="B2" s="1" t="inlineStr">
        <is>
          <t>STORY → NUMBERS (memo prompts)</t>
        </is>
      </c>
    </row>
    <row r="4">
      <c r="B4" s="48" t="inlineStr">
        <is>
          <t>Investment thesis (3–5 bullets)</t>
        </is>
      </c>
    </row>
    <row r="5" ht="60" customHeight="1">
      <c r="B5" s="49" t="inlineStr"/>
    </row>
    <row r="7">
      <c r="B7" s="48" t="inlineStr">
        <is>
          <t>Growth story (drivers + fade)</t>
        </is>
      </c>
    </row>
    <row r="8" ht="60" customHeight="1">
      <c r="B8" s="49" t="inlineStr"/>
    </row>
    <row r="10">
      <c r="B10" s="48" t="inlineStr">
        <is>
          <t>Profitability story (margin path)</t>
        </is>
      </c>
    </row>
    <row r="11" ht="60" customHeight="1">
      <c r="B11" s="49" t="inlineStr"/>
    </row>
    <row r="13">
      <c r="B13" s="48" t="inlineStr">
        <is>
          <t>Reinvestment story (capex/R&amp;D/NWC)</t>
        </is>
      </c>
    </row>
    <row r="14" ht="60" customHeight="1">
      <c r="B14" s="49" t="inlineStr"/>
    </row>
    <row r="16">
      <c r="B16" s="48" t="inlineStr">
        <is>
          <t>Risk story (beta/WACC + sensitivities)</t>
        </is>
      </c>
    </row>
    <row r="17" ht="60" customHeight="1">
      <c r="B17" s="49" t="inlineStr"/>
    </row>
    <row r="19">
      <c r="B19" s="48" t="inlineStr">
        <is>
          <t>Sanity checks (terminal, TV share)</t>
        </is>
      </c>
    </row>
    <row r="20" ht="60" customHeight="1">
      <c r="B20" s="49" t="inlineStr"/>
    </row>
    <row r="22">
      <c r="B22" t="inlineStr" s="5">
        <is>
          <t>SCENARIO STORY GRID (link narrative to assumptions)</t>
        </is>
      </c>
    </row>
    <row r="23">
      <c r="B23" t="inlineStr" s="27">
        <is>
          <t>Scenario</t>
        </is>
      </c>
      <c r="C23" t="inlineStr" s="27">
        <is>
          <t>Core narrative</t>
        </is>
      </c>
      <c r="D23" t="inlineStr" s="27">
        <is>
          <t>Linked operating driver</t>
        </is>
      </c>
      <c r="E23" t="inlineStr" s="27">
        <is>
          <t>KPI to track</t>
        </is>
      </c>
      <c r="F23" t="inlineStr" s="27">
        <is>
          <t>Disconfirming evidence</t>
        </is>
      </c>
      <c r="G23" t="inlineStr" s="27">
        <is>
          <t>Citation / source ID</t>
        </is>
      </c>
    </row>
    <row r="24">
      <c r="B24" t="inlineStr" s="48">
        <is>
          <t>Pessimistic</t>
        </is>
      </c>
      <c r="C24" t="inlineStr" s="49">
        <is>
          <t/>
        </is>
      </c>
      <c r="D24" t="inlineStr" s="49">
        <is>
          <t/>
        </is>
      </c>
      <c r="E24" t="inlineStr" s="49">
        <is>
          <t/>
        </is>
      </c>
      <c r="F24" t="inlineStr" s="49">
        <is>
          <t/>
        </is>
      </c>
      <c r="G24" t="inlineStr" s="49">
        <is>
          <t/>
        </is>
      </c>
    </row>
    <row r="25">
      <c r="B25" t="inlineStr" s="48">
        <is>
          <t>Neutral</t>
        </is>
      </c>
      <c r="C25" t="inlineStr" s="49">
        <is>
          <t/>
        </is>
      </c>
      <c r="D25" t="inlineStr" s="49">
        <is>
          <t/>
        </is>
      </c>
      <c r="E25" t="inlineStr" s="49">
        <is>
          <t/>
        </is>
      </c>
      <c r="F25" t="inlineStr" s="49">
        <is>
          <t/>
        </is>
      </c>
      <c r="G25" t="inlineStr" s="49">
        <is>
          <t/>
        </is>
      </c>
    </row>
    <row r="26">
      <c r="B26" t="inlineStr" s="48">
        <is>
          <t>Optimistic</t>
        </is>
      </c>
      <c r="C26" t="inlineStr" s="49">
        <is>
          <t/>
        </is>
      </c>
      <c r="D26" t="inlineStr" s="49">
        <is>
          <t/>
        </is>
      </c>
      <c r="E26" t="inlineStr" s="49">
        <is>
          <t/>
        </is>
      </c>
      <c r="F26" t="inlineStr" s="49">
        <is>
          <t/>
        </is>
      </c>
      <c r="G26" t="inlineStr" s="49">
        <is>
          <t/>
        </is>
      </c>
    </row>
    <row r="28">
      <c r="B28" t="inlineStr" s="7">
        <is>
          <t>Memo hooks: tie each key claim to scenario assumption and output range.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zoomScale="11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24" customWidth="1" min="3" max="3"/>
    <col width="60" customWidth="1" min="4" max="4"/>
  </cols>
  <sheetData>
    <row r="2" ht="20" customHeight="1">
      <c r="B2" s="5" t="inlineStr">
        <is>
          <t>OUTPUT CONTRACT (agent reads only this block)</t>
        </is>
      </c>
    </row>
    <row r="5">
      <c r="B5" s="7" t="inlineStr">
        <is>
          <t>Run ID</t>
        </is>
      </c>
      <c r="C5" s="52">
        <f>log_run_id</f>
        <v/>
      </c>
    </row>
    <row r="6">
      <c r="B6" s="10" t="inlineStr">
        <is>
          <t>Implied value / share</t>
        </is>
      </c>
      <c r="C6" s="43">
        <f>C15*C24 + C16*C25 + C17*C26</f>
        <v/>
      </c>
      <c r="D6" s="7" t="inlineStr">
        <is>
          <t>USD/share</t>
        </is>
      </c>
    </row>
    <row r="7">
      <c r="B7" s="10" t="inlineStr">
        <is>
          <t>Equity value</t>
        </is>
      </c>
      <c r="C7" s="50">
        <f>C18*C24 + C19*C25 + C20*C26</f>
        <v/>
      </c>
      <c r="D7" s="7" t="inlineStr">
        <is>
          <t>USD mm</t>
        </is>
      </c>
    </row>
    <row r="8">
      <c r="B8" s="10" t="inlineStr">
        <is>
          <t>Enterprise value (EV)</t>
        </is>
      </c>
      <c r="C8" s="50">
        <f>C21*C24 + C22*C25 + C23*C26</f>
        <v/>
      </c>
      <c r="D8" s="7" t="inlineStr">
        <is>
          <t>USD mm</t>
        </is>
      </c>
    </row>
    <row r="9">
      <c r="B9" s="10" t="inlineStr">
        <is>
          <t>WACC</t>
        </is>
      </c>
      <c r="C9" s="51">
        <f>Inputs!C43</f>
        <v/>
      </c>
      <c r="D9" s="7" t="inlineStr"/>
    </row>
    <row r="10">
      <c r="B10" s="10" t="inlineStr">
        <is>
          <t>Terminal growth (g)</t>
        </is>
      </c>
      <c r="C10" s="51">
        <f>Inputs!C44</f>
        <v/>
      </c>
      <c r="D10" s="7" t="inlineStr"/>
    </row>
    <row r="11">
      <c r="B11" s="10" t="inlineStr">
        <is>
          <t>Debt (ex‑leases)</t>
        </is>
      </c>
      <c r="C11" s="50">
        <f>Inputs!C50</f>
        <v/>
      </c>
      <c r="D11" s="7" t="inlineStr">
        <is>
          <t>USD mm</t>
        </is>
      </c>
    </row>
    <row r="12">
      <c r="B12" s="10" t="inlineStr">
        <is>
          <t>Lease debt (PV)</t>
        </is>
      </c>
      <c r="C12" s="50">
        <f>'Lease Capitalization'!C19</f>
        <v/>
      </c>
      <c r="D12" s="7" t="inlineStr">
        <is>
          <t>USD mm</t>
        </is>
      </c>
    </row>
    <row r="13">
      <c r="B13" s="10" t="inlineStr">
        <is>
          <t>Cash</t>
        </is>
      </c>
      <c r="C13" s="50">
        <f>Inputs!C49</f>
        <v/>
      </c>
      <c r="D13" s="7" t="inlineStr">
        <is>
          <t>USD mm</t>
        </is>
      </c>
    </row>
    <row r="14">
      <c r="B14" s="10" t="inlineStr">
        <is>
          <t>Diluted shares</t>
        </is>
      </c>
      <c r="C14" s="43">
        <f>'Dilution (TSM)'!C14</f>
        <v/>
      </c>
      <c r="D14" s="7" t="inlineStr">
        <is>
          <t>mm</t>
        </is>
      </c>
    </row>
    <row r="15">
      <c r="B15" t="inlineStr" s="10">
        <is>
          <t>Pessimistic value / share</t>
        </is>
      </c>
      <c r="C15" s="43">
        <f>DCF!C76</f>
        <v/>
      </c>
      <c r="D15" t="inlineStr" s="7">
        <is>
          <t>USD/share</t>
        </is>
      </c>
    </row>
    <row r="16">
      <c r="B16" t="inlineStr" s="10">
        <is>
          <t>Neutral value / share</t>
        </is>
      </c>
      <c r="C16" s="43">
        <f>DCF!C39</f>
        <v/>
      </c>
      <c r="D16" t="inlineStr" s="7">
        <is>
          <t>USD/share</t>
        </is>
      </c>
    </row>
    <row r="17">
      <c r="B17" t="inlineStr" s="10">
        <is>
          <t>Optimistic value / share</t>
        </is>
      </c>
      <c r="C17" s="43">
        <f>DCF!C113</f>
        <v/>
      </c>
      <c r="D17" t="inlineStr" s="7">
        <is>
          <t>USD/share</t>
        </is>
      </c>
    </row>
    <row r="18">
      <c r="B18" t="inlineStr" s="10">
        <is>
          <t>Pessimistic equity value</t>
        </is>
      </c>
      <c r="C18" s="50">
        <f>DCF!C74</f>
        <v/>
      </c>
      <c r="D18" t="inlineStr" s="7">
        <is>
          <t>USD mm</t>
        </is>
      </c>
    </row>
    <row r="19">
      <c r="B19" t="inlineStr" s="10">
        <is>
          <t>Neutral equity value</t>
        </is>
      </c>
      <c r="C19" s="50">
        <f>DCF!C37</f>
        <v/>
      </c>
      <c r="D19" t="inlineStr" s="7">
        <is>
          <t>USD mm</t>
        </is>
      </c>
    </row>
    <row r="20">
      <c r="B20" t="inlineStr" s="10">
        <is>
          <t>Optimistic equity value</t>
        </is>
      </c>
      <c r="C20" s="50">
        <f>DCF!C111</f>
        <v/>
      </c>
      <c r="D20" t="inlineStr" s="7">
        <is>
          <t>USD mm</t>
        </is>
      </c>
    </row>
    <row r="21">
      <c r="B21" t="inlineStr" s="10">
        <is>
          <t>Pessimistic EV</t>
        </is>
      </c>
      <c r="C21" s="50">
        <f>DCF!C72</f>
        <v/>
      </c>
      <c r="D21" t="inlineStr" s="7">
        <is>
          <t>USD mm</t>
        </is>
      </c>
    </row>
    <row r="22">
      <c r="B22" t="inlineStr" s="10">
        <is>
          <t>Neutral EV</t>
        </is>
      </c>
      <c r="C22" s="50">
        <f>DCF!C35</f>
        <v/>
      </c>
      <c r="D22" t="inlineStr" s="7">
        <is>
          <t>USD mm</t>
        </is>
      </c>
    </row>
    <row r="23">
      <c r="B23" t="inlineStr" s="10">
        <is>
          <t>Optimistic EV</t>
        </is>
      </c>
      <c r="C23" s="50">
        <f>DCF!C109</f>
        <v/>
      </c>
      <c r="D23" t="inlineStr" s="7">
        <is>
          <t>USD mm</t>
        </is>
      </c>
    </row>
    <row r="24">
      <c r="B24" t="inlineStr" s="10">
        <is>
          <t>Pessimistic weight</t>
        </is>
      </c>
      <c r="C24" s="51">
        <f>Inputs!G63</f>
        <v/>
      </c>
      <c r="D24" t="inlineStr" s="7">
        <is>
          <t/>
        </is>
      </c>
    </row>
    <row r="25">
      <c r="B25" t="inlineStr" s="10">
        <is>
          <t>Neutral weight</t>
        </is>
      </c>
      <c r="C25" s="51">
        <f>Inputs!H63</f>
        <v/>
      </c>
      <c r="D25" t="inlineStr" s="7">
        <is>
          <t/>
        </is>
      </c>
    </row>
    <row r="26">
      <c r="B26" t="inlineStr" s="10">
        <is>
          <t>Optimistic weight</t>
        </is>
      </c>
      <c r="C26" s="51">
        <f>Inputs!I63</f>
        <v/>
      </c>
      <c r="D26" t="inlineStr" s="7">
        <is>
          <t/>
        </is>
      </c>
    </row>
    <row r="27">
      <c r="B27" t="inlineStr" s="10">
        <is>
          <t>Weight sum</t>
        </is>
      </c>
      <c r="C27" s="51">
        <f>SUM(C24:C26)</f>
        <v/>
      </c>
      <c r="D27" t="inlineStr" s="7">
        <is>
          <t/>
        </is>
      </c>
    </row>
  </sheetData>
  <mergeCells count="1"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pane xSplit="2" ySplit="16" topLeftCell="C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22" customWidth="1" min="5" max="5"/>
    <col width="20" customWidth="1" min="6" max="6"/>
    <col width="30" customWidth="1" min="7" max="7"/>
    <col width="30" customWidth="1" min="8" max="8"/>
    <col width="24" customWidth="1" min="9" max="9"/>
    <col width="28" customWidth="1" min="10" max="10"/>
  </cols>
  <sheetData>
    <row r="1"/>
    <row r="2">
      <c r="B2" s="5" t="inlineStr">
        <is>
          <t>AGENT LOG (audit trail for this valuation run)</t>
        </is>
      </c>
    </row>
    <row r="3">
      <c r="B3" s="13" t="inlineStr">
        <is>
          <t>Write high-level rationales &amp; sources. Do NOT store private chain-of-thought. Keep entries concise, factual, and reproducible.</t>
        </is>
      </c>
      <c r="C3" s="53" t="n"/>
      <c r="D3" s="53" t="n"/>
      <c r="E3" s="53" t="n"/>
      <c r="F3" s="53" t="n"/>
      <c r="G3" s="53" t="n"/>
      <c r="H3" s="53" t="n"/>
      <c r="I3" s="53" t="n"/>
      <c r="J3" s="54" t="n"/>
    </row>
    <row r="4"/>
    <row r="5">
      <c r="B5" s="5" t="inlineStr">
        <is>
          <t>RUN METADATA</t>
        </is>
      </c>
    </row>
    <row r="6">
      <c r="B6" s="7" t="inlineStr">
        <is>
          <t>Run ID</t>
        </is>
      </c>
      <c r="C6" s="11" t="inlineStr"/>
      <c r="D6" s="7" t="inlineStr">
        <is>
          <t>Status</t>
        </is>
      </c>
      <c r="E6" s="52" t="inlineStr"/>
    </row>
    <row r="7">
      <c r="B7" s="7" t="inlineStr">
        <is>
          <t>Start time (UTC)</t>
        </is>
      </c>
      <c r="C7" s="11" t="inlineStr"/>
      <c r="D7" s="7" t="inlineStr">
        <is>
          <t>End time (UTC)</t>
        </is>
      </c>
      <c r="E7" s="52" t="inlineStr"/>
    </row>
    <row r="8">
      <c r="B8" s="7" t="inlineStr">
        <is>
          <t>Ticker</t>
        </is>
      </c>
      <c r="C8" s="11">
        <f>Inputs!C4</f>
        <v/>
      </c>
      <c r="D8" s="7" t="inlineStr">
        <is>
          <t>Company</t>
        </is>
      </c>
      <c r="E8" s="52">
        <f>Inputs!E4</f>
        <v/>
      </c>
    </row>
    <row r="9">
      <c r="B9" s="7" t="inlineStr">
        <is>
          <t>Template version</t>
        </is>
      </c>
      <c r="C9" s="11" t="inlineStr">
        <is>
          <t>v3-sheets-logbook</t>
        </is>
      </c>
      <c r="D9" s="7" t="inlineStr">
        <is>
          <t>Agent version (git SHA)</t>
        </is>
      </c>
      <c r="E9" s="52" t="inlineStr"/>
    </row>
    <row r="10">
      <c r="B10" s="7" t="inlineStr">
        <is>
          <t>Model (provider/model)</t>
        </is>
      </c>
      <c r="C10" s="11" t="inlineStr"/>
      <c r="D10" s="7" t="inlineStr">
        <is>
          <t>Sheets engine</t>
        </is>
      </c>
      <c r="E10" s="52" t="inlineStr">
        <is>
          <t>Google Sheets API</t>
        </is>
      </c>
    </row>
    <row r="11">
      <c r="B11" s="7" t="inlineStr">
        <is>
          <t>Data sources</t>
        </is>
      </c>
      <c r="C11" s="11" t="inlineStr"/>
      <c r="D11" s="7" t="inlineStr">
        <is>
          <t>Currency / Units</t>
        </is>
      </c>
      <c r="E11" s="52">
        <f>Inputs!C5</f>
        <v/>
      </c>
    </row>
    <row r="12">
      <c r="B12" s="7" t="inlineStr">
        <is>
          <t>Tokens (total)</t>
        </is>
      </c>
      <c r="C12" s="11" t="inlineStr"/>
      <c r="D12" s="7" t="inlineStr">
        <is>
          <t>Cost (USD)</t>
        </is>
      </c>
      <c r="E12" s="52" t="inlineStr"/>
    </row>
    <row r="13">
      <c r="B13" s="7" t="inlineStr">
        <is>
          <t>Notes</t>
        </is>
      </c>
      <c r="C13" s="55" t="inlineStr"/>
      <c r="D13" s="53" t="n"/>
      <c r="E13" s="53" t="n"/>
      <c r="F13" s="53" t="n"/>
      <c r="G13" s="53" t="n"/>
      <c r="H13" s="53" t="n"/>
      <c r="I13" s="53" t="n"/>
      <c r="J13" s="54" t="n"/>
    </row>
    <row r="14"/>
    <row r="15">
      <c r="B15" s="5" t="inlineStr">
        <is>
          <t>ACTION LEDGER (one row per step/tool call)</t>
        </is>
      </c>
    </row>
    <row r="16">
      <c r="B16" s="56" t="inlineStr">
        <is>
          <t>Step</t>
        </is>
      </c>
      <c r="C16" s="56" t="inlineStr">
        <is>
          <t>TS (UTC)</t>
        </is>
      </c>
      <c r="D16" s="56" t="inlineStr">
        <is>
          <t>Phase</t>
        </is>
      </c>
      <c r="E16" s="56" t="inlineStr">
        <is>
          <t>Action</t>
        </is>
      </c>
      <c r="F16" s="56" t="inlineStr">
        <is>
          <t>Target</t>
        </is>
      </c>
      <c r="G16" s="56" t="inlineStr">
        <is>
          <t>Inputs (summary)</t>
        </is>
      </c>
      <c r="H16" s="56" t="inlineStr">
        <is>
          <t>Outputs (summary)</t>
        </is>
      </c>
      <c r="I16" s="56" t="inlineStr">
        <is>
          <t>Citations</t>
        </is>
      </c>
      <c r="J16" s="56" t="inlineStr">
        <is>
          <t>Notes</t>
        </is>
      </c>
    </row>
    <row r="17">
      <c r="B17" s="57" t="n">
        <v>1</v>
      </c>
      <c r="C17" s="55" t="n"/>
      <c r="D17" s="55" t="n"/>
      <c r="E17" s="55" t="n"/>
      <c r="F17" s="55" t="n"/>
      <c r="G17" s="55" t="n"/>
      <c r="H17" s="55" t="n"/>
      <c r="I17" s="55" t="n"/>
      <c r="J17" s="55" t="n"/>
    </row>
    <row r="18">
      <c r="B18" s="57" t="n">
        <v>2</v>
      </c>
      <c r="C18" s="55" t="n"/>
      <c r="D18" s="55" t="n"/>
      <c r="E18" s="55" t="n"/>
      <c r="F18" s="55" t="n"/>
      <c r="G18" s="55" t="n"/>
      <c r="H18" s="55" t="n"/>
      <c r="I18" s="55" t="n"/>
      <c r="J18" s="55" t="n"/>
    </row>
    <row r="19">
      <c r="B19" s="57" t="n">
        <v>3</v>
      </c>
      <c r="C19" s="55" t="n"/>
      <c r="D19" s="55" t="n"/>
      <c r="E19" s="55" t="n"/>
      <c r="F19" s="55" t="n"/>
      <c r="G19" s="55" t="n"/>
      <c r="H19" s="55" t="n"/>
      <c r="I19" s="55" t="n"/>
      <c r="J19" s="55" t="n"/>
    </row>
    <row r="20">
      <c r="B20" s="57" t="n">
        <v>4</v>
      </c>
      <c r="C20" s="55" t="n"/>
      <c r="D20" s="55" t="n"/>
      <c r="E20" s="55" t="n"/>
      <c r="F20" s="55" t="n"/>
      <c r="G20" s="55" t="n"/>
      <c r="H20" s="55" t="n"/>
      <c r="I20" s="55" t="n"/>
      <c r="J20" s="55" t="n"/>
    </row>
    <row r="21">
      <c r="B21" s="57" t="n">
        <v>5</v>
      </c>
      <c r="C21" s="55" t="n"/>
      <c r="D21" s="55" t="n"/>
      <c r="E21" s="55" t="n"/>
      <c r="F21" s="55" t="n"/>
      <c r="G21" s="55" t="n"/>
      <c r="H21" s="55" t="n"/>
      <c r="I21" s="55" t="n"/>
      <c r="J21" s="55" t="n"/>
    </row>
    <row r="22">
      <c r="B22" s="57" t="n">
        <v>6</v>
      </c>
      <c r="C22" s="55" t="n"/>
      <c r="D22" s="55" t="n"/>
      <c r="E22" s="55" t="n"/>
      <c r="F22" s="55" t="n"/>
      <c r="G22" s="55" t="n"/>
      <c r="H22" s="55" t="n"/>
      <c r="I22" s="55" t="n"/>
      <c r="J22" s="55" t="n"/>
    </row>
    <row r="23">
      <c r="B23" s="57" t="n">
        <v>7</v>
      </c>
      <c r="C23" s="55" t="n"/>
      <c r="D23" s="55" t="n"/>
      <c r="E23" s="55" t="n"/>
      <c r="F23" s="55" t="n"/>
      <c r="G23" s="55" t="n"/>
      <c r="H23" s="55" t="n"/>
      <c r="I23" s="55" t="n"/>
      <c r="J23" s="55" t="n"/>
    </row>
    <row r="24">
      <c r="B24" s="57" t="n">
        <v>8</v>
      </c>
      <c r="C24" s="55" t="n"/>
      <c r="D24" s="55" t="n"/>
      <c r="E24" s="55" t="n"/>
      <c r="F24" s="55" t="n"/>
      <c r="G24" s="55" t="n"/>
      <c r="H24" s="55" t="n"/>
      <c r="I24" s="55" t="n"/>
      <c r="J24" s="55" t="n"/>
    </row>
    <row r="25">
      <c r="B25" s="57" t="n">
        <v>9</v>
      </c>
      <c r="C25" s="55" t="n"/>
      <c r="D25" s="55" t="n"/>
      <c r="E25" s="55" t="n"/>
      <c r="F25" s="55" t="n"/>
      <c r="G25" s="55" t="n"/>
      <c r="H25" s="55" t="n"/>
      <c r="I25" s="55" t="n"/>
      <c r="J25" s="55" t="n"/>
    </row>
    <row r="26">
      <c r="B26" s="57" t="n">
        <v>10</v>
      </c>
      <c r="C26" s="55" t="n"/>
      <c r="D26" s="55" t="n"/>
      <c r="E26" s="55" t="n"/>
      <c r="F26" s="55" t="n"/>
      <c r="G26" s="55" t="n"/>
      <c r="H26" s="55" t="n"/>
      <c r="I26" s="55" t="n"/>
      <c r="J26" s="55" t="n"/>
    </row>
    <row r="27">
      <c r="B27" s="57" t="n">
        <v>11</v>
      </c>
      <c r="C27" s="55" t="n"/>
      <c r="D27" s="55" t="n"/>
      <c r="E27" s="55" t="n"/>
      <c r="F27" s="55" t="n"/>
      <c r="G27" s="55" t="n"/>
      <c r="H27" s="55" t="n"/>
      <c r="I27" s="55" t="n"/>
      <c r="J27" s="55" t="n"/>
    </row>
    <row r="28">
      <c r="B28" s="57" t="n">
        <v>12</v>
      </c>
      <c r="C28" s="55" t="n"/>
      <c r="D28" s="55" t="n"/>
      <c r="E28" s="55" t="n"/>
      <c r="F28" s="55" t="n"/>
      <c r="G28" s="55" t="n"/>
      <c r="H28" s="55" t="n"/>
      <c r="I28" s="55" t="n"/>
      <c r="J28" s="55" t="n"/>
    </row>
    <row r="29">
      <c r="B29" s="57" t="n">
        <v>13</v>
      </c>
      <c r="C29" s="55" t="n"/>
      <c r="D29" s="55" t="n"/>
      <c r="E29" s="55" t="n"/>
      <c r="F29" s="55" t="n"/>
      <c r="G29" s="55" t="n"/>
      <c r="H29" s="55" t="n"/>
      <c r="I29" s="55" t="n"/>
      <c r="J29" s="55" t="n"/>
    </row>
    <row r="30">
      <c r="B30" s="57" t="n">
        <v>14</v>
      </c>
      <c r="C30" s="55" t="n"/>
      <c r="D30" s="55" t="n"/>
      <c r="E30" s="55" t="n"/>
      <c r="F30" s="55" t="n"/>
      <c r="G30" s="55" t="n"/>
      <c r="H30" s="55" t="n"/>
      <c r="I30" s="55" t="n"/>
      <c r="J30" s="55" t="n"/>
    </row>
    <row r="31">
      <c r="B31" s="57" t="n">
        <v>15</v>
      </c>
      <c r="C31" s="55" t="n"/>
      <c r="D31" s="55" t="n"/>
      <c r="E31" s="55" t="n"/>
      <c r="F31" s="55" t="n"/>
      <c r="G31" s="55" t="n"/>
      <c r="H31" s="55" t="n"/>
      <c r="I31" s="55" t="n"/>
      <c r="J31" s="55" t="n"/>
    </row>
    <row r="32">
      <c r="B32" s="57" t="n">
        <v>16</v>
      </c>
      <c r="C32" s="55" t="n"/>
      <c r="D32" s="55" t="n"/>
      <c r="E32" s="55" t="n"/>
      <c r="F32" s="55" t="n"/>
      <c r="G32" s="55" t="n"/>
      <c r="H32" s="55" t="n"/>
      <c r="I32" s="55" t="n"/>
      <c r="J32" s="55" t="n"/>
    </row>
    <row r="33">
      <c r="B33" s="57" t="n">
        <v>17</v>
      </c>
      <c r="C33" s="55" t="n"/>
      <c r="D33" s="55" t="n"/>
      <c r="E33" s="55" t="n"/>
      <c r="F33" s="55" t="n"/>
      <c r="G33" s="55" t="n"/>
      <c r="H33" s="55" t="n"/>
      <c r="I33" s="55" t="n"/>
      <c r="J33" s="55" t="n"/>
    </row>
    <row r="34">
      <c r="B34" s="57" t="n">
        <v>18</v>
      </c>
      <c r="C34" s="55" t="n"/>
      <c r="D34" s="55" t="n"/>
      <c r="E34" s="55" t="n"/>
      <c r="F34" s="55" t="n"/>
      <c r="G34" s="55" t="n"/>
      <c r="H34" s="55" t="n"/>
      <c r="I34" s="55" t="n"/>
      <c r="J34" s="55" t="n"/>
    </row>
    <row r="35">
      <c r="B35" s="57" t="n">
        <v>19</v>
      </c>
      <c r="C35" s="55" t="n"/>
      <c r="D35" s="55" t="n"/>
      <c r="E35" s="55" t="n"/>
      <c r="F35" s="55" t="n"/>
      <c r="G35" s="55" t="n"/>
      <c r="H35" s="55" t="n"/>
      <c r="I35" s="55" t="n"/>
      <c r="J35" s="55" t="n"/>
    </row>
    <row r="36">
      <c r="B36" s="57" t="n">
        <v>20</v>
      </c>
      <c r="C36" s="55" t="n"/>
      <c r="D36" s="55" t="n"/>
      <c r="E36" s="55" t="n"/>
      <c r="F36" s="55" t="n"/>
      <c r="G36" s="55" t="n"/>
      <c r="H36" s="55" t="n"/>
      <c r="I36" s="55" t="n"/>
      <c r="J36" s="55" t="n"/>
    </row>
    <row r="37">
      <c r="B37" s="57" t="n">
        <v>21</v>
      </c>
      <c r="C37" s="55" t="n"/>
      <c r="D37" s="55" t="n"/>
      <c r="E37" s="55" t="n"/>
      <c r="F37" s="55" t="n"/>
      <c r="G37" s="55" t="n"/>
      <c r="H37" s="55" t="n"/>
      <c r="I37" s="55" t="n"/>
      <c r="J37" s="55" t="n"/>
    </row>
    <row r="38">
      <c r="B38" s="57" t="n">
        <v>22</v>
      </c>
      <c r="C38" s="55" t="n"/>
      <c r="D38" s="55" t="n"/>
      <c r="E38" s="55" t="n"/>
      <c r="F38" s="55" t="n"/>
      <c r="G38" s="55" t="n"/>
      <c r="H38" s="55" t="n"/>
      <c r="I38" s="55" t="n"/>
      <c r="J38" s="55" t="n"/>
    </row>
    <row r="39">
      <c r="B39" s="57" t="n">
        <v>23</v>
      </c>
      <c r="C39" s="55" t="n"/>
      <c r="D39" s="55" t="n"/>
      <c r="E39" s="55" t="n"/>
      <c r="F39" s="55" t="n"/>
      <c r="G39" s="55" t="n"/>
      <c r="H39" s="55" t="n"/>
      <c r="I39" s="55" t="n"/>
      <c r="J39" s="55" t="n"/>
    </row>
    <row r="40">
      <c r="B40" s="57" t="n">
        <v>24</v>
      </c>
      <c r="C40" s="55" t="n"/>
      <c r="D40" s="55" t="n"/>
      <c r="E40" s="55" t="n"/>
      <c r="F40" s="55" t="n"/>
      <c r="G40" s="55" t="n"/>
      <c r="H40" s="55" t="n"/>
      <c r="I40" s="55" t="n"/>
      <c r="J40" s="55" t="n"/>
    </row>
    <row r="41">
      <c r="B41" s="57" t="n">
        <v>25</v>
      </c>
      <c r="C41" s="55" t="n"/>
      <c r="D41" s="55" t="n"/>
      <c r="E41" s="55" t="n"/>
      <c r="F41" s="55" t="n"/>
      <c r="G41" s="55" t="n"/>
      <c r="H41" s="55" t="n"/>
      <c r="I41" s="55" t="n"/>
      <c r="J41" s="55" t="n"/>
    </row>
    <row r="42">
      <c r="B42" s="57" t="n">
        <v>26</v>
      </c>
      <c r="C42" s="55" t="n"/>
      <c r="D42" s="55" t="n"/>
      <c r="E42" s="55" t="n"/>
      <c r="F42" s="55" t="n"/>
      <c r="G42" s="55" t="n"/>
      <c r="H42" s="55" t="n"/>
      <c r="I42" s="55" t="n"/>
      <c r="J42" s="55" t="n"/>
    </row>
    <row r="43">
      <c r="B43" s="57" t="n">
        <v>27</v>
      </c>
      <c r="C43" s="55" t="n"/>
      <c r="D43" s="55" t="n"/>
      <c r="E43" s="55" t="n"/>
      <c r="F43" s="55" t="n"/>
      <c r="G43" s="55" t="n"/>
      <c r="H43" s="55" t="n"/>
      <c r="I43" s="55" t="n"/>
      <c r="J43" s="55" t="n"/>
    </row>
    <row r="44">
      <c r="B44" s="57" t="n">
        <v>28</v>
      </c>
      <c r="C44" s="55" t="n"/>
      <c r="D44" s="55" t="n"/>
      <c r="E44" s="55" t="n"/>
      <c r="F44" s="55" t="n"/>
      <c r="G44" s="55" t="n"/>
      <c r="H44" s="55" t="n"/>
      <c r="I44" s="55" t="n"/>
      <c r="J44" s="55" t="n"/>
    </row>
    <row r="45">
      <c r="B45" s="57" t="n">
        <v>29</v>
      </c>
      <c r="C45" s="55" t="n"/>
      <c r="D45" s="55" t="n"/>
      <c r="E45" s="55" t="n"/>
      <c r="F45" s="55" t="n"/>
      <c r="G45" s="55" t="n"/>
      <c r="H45" s="55" t="n"/>
      <c r="I45" s="55" t="n"/>
      <c r="J45" s="55" t="n"/>
    </row>
    <row r="46">
      <c r="B46" s="57" t="n">
        <v>30</v>
      </c>
      <c r="C46" s="55" t="n"/>
      <c r="D46" s="55" t="n"/>
      <c r="E46" s="55" t="n"/>
      <c r="F46" s="55" t="n"/>
      <c r="G46" s="55" t="n"/>
      <c r="H46" s="55" t="n"/>
      <c r="I46" s="55" t="n"/>
      <c r="J46" s="55" t="n"/>
    </row>
    <row r="47">
      <c r="B47" s="57" t="n">
        <v>31</v>
      </c>
      <c r="C47" s="55" t="n"/>
      <c r="D47" s="55" t="n"/>
      <c r="E47" s="55" t="n"/>
      <c r="F47" s="55" t="n"/>
      <c r="G47" s="55" t="n"/>
      <c r="H47" s="55" t="n"/>
      <c r="I47" s="55" t="n"/>
      <c r="J47" s="55" t="n"/>
    </row>
    <row r="48">
      <c r="B48" s="57" t="n">
        <v>32</v>
      </c>
      <c r="C48" s="55" t="n"/>
      <c r="D48" s="55" t="n"/>
      <c r="E48" s="55" t="n"/>
      <c r="F48" s="55" t="n"/>
      <c r="G48" s="55" t="n"/>
      <c r="H48" s="55" t="n"/>
      <c r="I48" s="55" t="n"/>
      <c r="J48" s="55" t="n"/>
    </row>
    <row r="49">
      <c r="B49" s="57" t="n">
        <v>33</v>
      </c>
      <c r="C49" s="55" t="n"/>
      <c r="D49" s="55" t="n"/>
      <c r="E49" s="55" t="n"/>
      <c r="F49" s="55" t="n"/>
      <c r="G49" s="55" t="n"/>
      <c r="H49" s="55" t="n"/>
      <c r="I49" s="55" t="n"/>
      <c r="J49" s="55" t="n"/>
    </row>
    <row r="50">
      <c r="B50" s="57" t="n">
        <v>34</v>
      </c>
      <c r="C50" s="55" t="n"/>
      <c r="D50" s="55" t="n"/>
      <c r="E50" s="55" t="n"/>
      <c r="F50" s="55" t="n"/>
      <c r="G50" s="55" t="n"/>
      <c r="H50" s="55" t="n"/>
      <c r="I50" s="55" t="n"/>
      <c r="J50" s="55" t="n"/>
    </row>
    <row r="51">
      <c r="B51" s="57" t="n">
        <v>35</v>
      </c>
      <c r="C51" s="55" t="n"/>
      <c r="D51" s="55" t="n"/>
      <c r="E51" s="55" t="n"/>
      <c r="F51" s="55" t="n"/>
      <c r="G51" s="55" t="n"/>
      <c r="H51" s="55" t="n"/>
      <c r="I51" s="55" t="n"/>
      <c r="J51" s="55" t="n"/>
    </row>
    <row r="52">
      <c r="B52" s="57" t="n">
        <v>36</v>
      </c>
      <c r="C52" s="55" t="n"/>
      <c r="D52" s="55" t="n"/>
      <c r="E52" s="55" t="n"/>
      <c r="F52" s="55" t="n"/>
      <c r="G52" s="55" t="n"/>
      <c r="H52" s="55" t="n"/>
      <c r="I52" s="55" t="n"/>
      <c r="J52" s="55" t="n"/>
    </row>
    <row r="53">
      <c r="B53" s="57" t="n">
        <v>37</v>
      </c>
      <c r="C53" s="55" t="n"/>
      <c r="D53" s="55" t="n"/>
      <c r="E53" s="55" t="n"/>
      <c r="F53" s="55" t="n"/>
      <c r="G53" s="55" t="n"/>
      <c r="H53" s="55" t="n"/>
      <c r="I53" s="55" t="n"/>
      <c r="J53" s="55" t="n"/>
    </row>
    <row r="54">
      <c r="B54" s="57" t="n">
        <v>38</v>
      </c>
      <c r="C54" s="55" t="n"/>
      <c r="D54" s="55" t="n"/>
      <c r="E54" s="55" t="n"/>
      <c r="F54" s="55" t="n"/>
      <c r="G54" s="55" t="n"/>
      <c r="H54" s="55" t="n"/>
      <c r="I54" s="55" t="n"/>
      <c r="J54" s="55" t="n"/>
    </row>
    <row r="55">
      <c r="B55" s="57" t="n">
        <v>39</v>
      </c>
      <c r="C55" s="55" t="n"/>
      <c r="D55" s="55" t="n"/>
      <c r="E55" s="55" t="n"/>
      <c r="F55" s="55" t="n"/>
      <c r="G55" s="55" t="n"/>
      <c r="H55" s="55" t="n"/>
      <c r="I55" s="55" t="n"/>
      <c r="J55" s="55" t="n"/>
    </row>
    <row r="56">
      <c r="B56" s="57" t="n">
        <v>40</v>
      </c>
      <c r="C56" s="55" t="n"/>
      <c r="D56" s="55" t="n"/>
      <c r="E56" s="55" t="n"/>
      <c r="F56" s="55" t="n"/>
      <c r="G56" s="55" t="n"/>
      <c r="H56" s="55" t="n"/>
      <c r="I56" s="55" t="n"/>
      <c r="J56" s="55" t="n"/>
    </row>
    <row r="57">
      <c r="B57" s="57" t="n">
        <v>41</v>
      </c>
      <c r="C57" s="55" t="n"/>
      <c r="D57" s="55" t="n"/>
      <c r="E57" s="55" t="n"/>
      <c r="F57" s="55" t="n"/>
      <c r="G57" s="55" t="n"/>
      <c r="H57" s="55" t="n"/>
      <c r="I57" s="55" t="n"/>
      <c r="J57" s="55" t="n"/>
    </row>
    <row r="58">
      <c r="B58" s="57" t="n">
        <v>42</v>
      </c>
      <c r="C58" s="55" t="n"/>
      <c r="D58" s="55" t="n"/>
      <c r="E58" s="55" t="n"/>
      <c r="F58" s="55" t="n"/>
      <c r="G58" s="55" t="n"/>
      <c r="H58" s="55" t="n"/>
      <c r="I58" s="55" t="n"/>
      <c r="J58" s="55" t="n"/>
    </row>
    <row r="59">
      <c r="B59" s="57" t="n">
        <v>43</v>
      </c>
      <c r="C59" s="55" t="n"/>
      <c r="D59" s="55" t="n"/>
      <c r="E59" s="55" t="n"/>
      <c r="F59" s="55" t="n"/>
      <c r="G59" s="55" t="n"/>
      <c r="H59" s="55" t="n"/>
      <c r="I59" s="55" t="n"/>
      <c r="J59" s="55" t="n"/>
    </row>
    <row r="60">
      <c r="B60" s="57" t="n">
        <v>44</v>
      </c>
      <c r="C60" s="55" t="n"/>
      <c r="D60" s="55" t="n"/>
      <c r="E60" s="55" t="n"/>
      <c r="F60" s="55" t="n"/>
      <c r="G60" s="55" t="n"/>
      <c r="H60" s="55" t="n"/>
      <c r="I60" s="55" t="n"/>
      <c r="J60" s="55" t="n"/>
    </row>
    <row r="61">
      <c r="B61" s="57" t="n">
        <v>45</v>
      </c>
      <c r="C61" s="55" t="n"/>
      <c r="D61" s="55" t="n"/>
      <c r="E61" s="55" t="n"/>
      <c r="F61" s="55" t="n"/>
      <c r="G61" s="55" t="n"/>
      <c r="H61" s="55" t="n"/>
      <c r="I61" s="55" t="n"/>
      <c r="J61" s="55" t="n"/>
    </row>
    <row r="62">
      <c r="B62" s="57" t="n">
        <v>46</v>
      </c>
      <c r="C62" s="55" t="n"/>
      <c r="D62" s="55" t="n"/>
      <c r="E62" s="55" t="n"/>
      <c r="F62" s="55" t="n"/>
      <c r="G62" s="55" t="n"/>
      <c r="H62" s="55" t="n"/>
      <c r="I62" s="55" t="n"/>
      <c r="J62" s="55" t="n"/>
    </row>
    <row r="63">
      <c r="B63" s="57" t="n">
        <v>47</v>
      </c>
      <c r="C63" s="55" t="n"/>
      <c r="D63" s="55" t="n"/>
      <c r="E63" s="55" t="n"/>
      <c r="F63" s="55" t="n"/>
      <c r="G63" s="55" t="n"/>
      <c r="H63" s="55" t="n"/>
      <c r="I63" s="55" t="n"/>
      <c r="J63" s="55" t="n"/>
    </row>
    <row r="64">
      <c r="B64" s="57" t="n">
        <v>48</v>
      </c>
      <c r="C64" s="55" t="n"/>
      <c r="D64" s="55" t="n"/>
      <c r="E64" s="55" t="n"/>
      <c r="F64" s="55" t="n"/>
      <c r="G64" s="55" t="n"/>
      <c r="H64" s="55" t="n"/>
      <c r="I64" s="55" t="n"/>
      <c r="J64" s="55" t="n"/>
    </row>
    <row r="65">
      <c r="B65" s="57" t="n">
        <v>49</v>
      </c>
      <c r="C65" s="55" t="n"/>
      <c r="D65" s="55" t="n"/>
      <c r="E65" s="55" t="n"/>
      <c r="F65" s="55" t="n"/>
      <c r="G65" s="55" t="n"/>
      <c r="H65" s="55" t="n"/>
      <c r="I65" s="55" t="n"/>
      <c r="J65" s="55" t="n"/>
    </row>
    <row r="66">
      <c r="B66" s="57" t="n">
        <v>50</v>
      </c>
      <c r="C66" s="55" t="n"/>
      <c r="D66" s="55" t="n"/>
      <c r="E66" s="55" t="n"/>
      <c r="F66" s="55" t="n"/>
      <c r="G66" s="55" t="n"/>
      <c r="H66" s="55" t="n"/>
      <c r="I66" s="55" t="n"/>
      <c r="J66" s="55" t="n"/>
    </row>
    <row r="67">
      <c r="B67" s="57" t="n">
        <v>51</v>
      </c>
      <c r="C67" s="55" t="n"/>
      <c r="D67" s="55" t="n"/>
      <c r="E67" s="55" t="n"/>
      <c r="F67" s="55" t="n"/>
      <c r="G67" s="55" t="n"/>
      <c r="H67" s="55" t="n"/>
      <c r="I67" s="55" t="n"/>
      <c r="J67" s="55" t="n"/>
    </row>
    <row r="68">
      <c r="B68" s="57" t="n">
        <v>52</v>
      </c>
      <c r="C68" s="55" t="n"/>
      <c r="D68" s="55" t="n"/>
      <c r="E68" s="55" t="n"/>
      <c r="F68" s="55" t="n"/>
      <c r="G68" s="55" t="n"/>
      <c r="H68" s="55" t="n"/>
      <c r="I68" s="55" t="n"/>
      <c r="J68" s="55" t="n"/>
    </row>
    <row r="69">
      <c r="B69" s="57" t="n">
        <v>53</v>
      </c>
      <c r="C69" s="55" t="n"/>
      <c r="D69" s="55" t="n"/>
      <c r="E69" s="55" t="n"/>
      <c r="F69" s="55" t="n"/>
      <c r="G69" s="55" t="n"/>
      <c r="H69" s="55" t="n"/>
      <c r="I69" s="55" t="n"/>
      <c r="J69" s="55" t="n"/>
    </row>
    <row r="70">
      <c r="B70" s="57" t="n">
        <v>54</v>
      </c>
      <c r="C70" s="55" t="n"/>
      <c r="D70" s="55" t="n"/>
      <c r="E70" s="55" t="n"/>
      <c r="F70" s="55" t="n"/>
      <c r="G70" s="55" t="n"/>
      <c r="H70" s="55" t="n"/>
      <c r="I70" s="55" t="n"/>
      <c r="J70" s="55" t="n"/>
    </row>
    <row r="71">
      <c r="B71" s="57" t="n">
        <v>55</v>
      </c>
      <c r="C71" s="55" t="n"/>
      <c r="D71" s="55" t="n"/>
      <c r="E71" s="55" t="n"/>
      <c r="F71" s="55" t="n"/>
      <c r="G71" s="55" t="n"/>
      <c r="H71" s="55" t="n"/>
      <c r="I71" s="55" t="n"/>
      <c r="J71" s="55" t="n"/>
    </row>
    <row r="72">
      <c r="B72" s="57" t="n">
        <v>56</v>
      </c>
      <c r="C72" s="55" t="n"/>
      <c r="D72" s="55" t="n"/>
      <c r="E72" s="55" t="n"/>
      <c r="F72" s="55" t="n"/>
      <c r="G72" s="55" t="n"/>
      <c r="H72" s="55" t="n"/>
      <c r="I72" s="55" t="n"/>
      <c r="J72" s="55" t="n"/>
    </row>
    <row r="73">
      <c r="B73" s="57" t="n">
        <v>57</v>
      </c>
      <c r="C73" s="55" t="n"/>
      <c r="D73" s="55" t="n"/>
      <c r="E73" s="55" t="n"/>
      <c r="F73" s="55" t="n"/>
      <c r="G73" s="55" t="n"/>
      <c r="H73" s="55" t="n"/>
      <c r="I73" s="55" t="n"/>
      <c r="J73" s="55" t="n"/>
    </row>
    <row r="74">
      <c r="B74" s="57" t="n">
        <v>58</v>
      </c>
      <c r="C74" s="55" t="n"/>
      <c r="D74" s="55" t="n"/>
      <c r="E74" s="55" t="n"/>
      <c r="F74" s="55" t="n"/>
      <c r="G74" s="55" t="n"/>
      <c r="H74" s="55" t="n"/>
      <c r="I74" s="55" t="n"/>
      <c r="J74" s="55" t="n"/>
    </row>
    <row r="75">
      <c r="B75" s="57" t="n">
        <v>59</v>
      </c>
      <c r="C75" s="55" t="n"/>
      <c r="D75" s="55" t="n"/>
      <c r="E75" s="55" t="n"/>
      <c r="F75" s="55" t="n"/>
      <c r="G75" s="55" t="n"/>
      <c r="H75" s="55" t="n"/>
      <c r="I75" s="55" t="n"/>
      <c r="J75" s="55" t="n"/>
    </row>
    <row r="76">
      <c r="B76" s="57" t="n">
        <v>60</v>
      </c>
      <c r="C76" s="55" t="n"/>
      <c r="D76" s="55" t="n"/>
      <c r="E76" s="55" t="n"/>
      <c r="F76" s="55" t="n"/>
      <c r="G76" s="55" t="n"/>
      <c r="H76" s="55" t="n"/>
      <c r="I76" s="55" t="n"/>
      <c r="J76" s="55" t="n"/>
    </row>
    <row r="77">
      <c r="B77" s="57" t="n">
        <v>61</v>
      </c>
      <c r="C77" s="55" t="n"/>
      <c r="D77" s="55" t="n"/>
      <c r="E77" s="55" t="n"/>
      <c r="F77" s="55" t="n"/>
      <c r="G77" s="55" t="n"/>
      <c r="H77" s="55" t="n"/>
      <c r="I77" s="55" t="n"/>
      <c r="J77" s="55" t="n"/>
    </row>
    <row r="78">
      <c r="B78" s="57" t="n">
        <v>62</v>
      </c>
      <c r="C78" s="55" t="n"/>
      <c r="D78" s="55" t="n"/>
      <c r="E78" s="55" t="n"/>
      <c r="F78" s="55" t="n"/>
      <c r="G78" s="55" t="n"/>
      <c r="H78" s="55" t="n"/>
      <c r="I78" s="55" t="n"/>
      <c r="J78" s="55" t="n"/>
    </row>
    <row r="79">
      <c r="B79" s="57" t="n">
        <v>63</v>
      </c>
      <c r="C79" s="55" t="n"/>
      <c r="D79" s="55" t="n"/>
      <c r="E79" s="55" t="n"/>
      <c r="F79" s="55" t="n"/>
      <c r="G79" s="55" t="n"/>
      <c r="H79" s="55" t="n"/>
      <c r="I79" s="55" t="n"/>
      <c r="J79" s="55" t="n"/>
    </row>
    <row r="80">
      <c r="B80" s="57" t="n">
        <v>64</v>
      </c>
      <c r="C80" s="55" t="n"/>
      <c r="D80" s="55" t="n"/>
      <c r="E80" s="55" t="n"/>
      <c r="F80" s="55" t="n"/>
      <c r="G80" s="55" t="n"/>
      <c r="H80" s="55" t="n"/>
      <c r="I80" s="55" t="n"/>
      <c r="J80" s="55" t="n"/>
    </row>
    <row r="81">
      <c r="B81" s="57" t="n">
        <v>65</v>
      </c>
      <c r="C81" s="55" t="n"/>
      <c r="D81" s="55" t="n"/>
      <c r="E81" s="55" t="n"/>
      <c r="F81" s="55" t="n"/>
      <c r="G81" s="55" t="n"/>
      <c r="H81" s="55" t="n"/>
      <c r="I81" s="55" t="n"/>
      <c r="J81" s="55" t="n"/>
    </row>
    <row r="82">
      <c r="B82" s="57" t="n">
        <v>66</v>
      </c>
      <c r="C82" s="55" t="n"/>
      <c r="D82" s="55" t="n"/>
      <c r="E82" s="55" t="n"/>
      <c r="F82" s="55" t="n"/>
      <c r="G82" s="55" t="n"/>
      <c r="H82" s="55" t="n"/>
      <c r="I82" s="55" t="n"/>
      <c r="J82" s="55" t="n"/>
    </row>
    <row r="83">
      <c r="B83" s="57" t="n">
        <v>67</v>
      </c>
      <c r="C83" s="55" t="n"/>
      <c r="D83" s="55" t="n"/>
      <c r="E83" s="55" t="n"/>
      <c r="F83" s="55" t="n"/>
      <c r="G83" s="55" t="n"/>
      <c r="H83" s="55" t="n"/>
      <c r="I83" s="55" t="n"/>
      <c r="J83" s="55" t="n"/>
    </row>
    <row r="84">
      <c r="B84" s="57" t="n">
        <v>68</v>
      </c>
      <c r="C84" s="55" t="n"/>
      <c r="D84" s="55" t="n"/>
      <c r="E84" s="55" t="n"/>
      <c r="F84" s="55" t="n"/>
      <c r="G84" s="55" t="n"/>
      <c r="H84" s="55" t="n"/>
      <c r="I84" s="55" t="n"/>
      <c r="J84" s="55" t="n"/>
    </row>
    <row r="85">
      <c r="B85" s="57" t="n">
        <v>69</v>
      </c>
      <c r="C85" s="55" t="n"/>
      <c r="D85" s="55" t="n"/>
      <c r="E85" s="55" t="n"/>
      <c r="F85" s="55" t="n"/>
      <c r="G85" s="55" t="n"/>
      <c r="H85" s="55" t="n"/>
      <c r="I85" s="55" t="n"/>
      <c r="J85" s="55" t="n"/>
    </row>
    <row r="86">
      <c r="B86" s="57" t="n">
        <v>70</v>
      </c>
      <c r="C86" s="55" t="n"/>
      <c r="D86" s="55" t="n"/>
      <c r="E86" s="55" t="n"/>
      <c r="F86" s="55" t="n"/>
      <c r="G86" s="55" t="n"/>
      <c r="H86" s="55" t="n"/>
      <c r="I86" s="55" t="n"/>
      <c r="J86" s="55" t="n"/>
    </row>
    <row r="87">
      <c r="B87" s="57" t="n">
        <v>71</v>
      </c>
      <c r="C87" s="55" t="n"/>
      <c r="D87" s="55" t="n"/>
      <c r="E87" s="55" t="n"/>
      <c r="F87" s="55" t="n"/>
      <c r="G87" s="55" t="n"/>
      <c r="H87" s="55" t="n"/>
      <c r="I87" s="55" t="n"/>
      <c r="J87" s="55" t="n"/>
    </row>
    <row r="88">
      <c r="B88" s="57" t="n">
        <v>72</v>
      </c>
      <c r="C88" s="55" t="n"/>
      <c r="D88" s="55" t="n"/>
      <c r="E88" s="55" t="n"/>
      <c r="F88" s="55" t="n"/>
      <c r="G88" s="55" t="n"/>
      <c r="H88" s="55" t="n"/>
      <c r="I88" s="55" t="n"/>
      <c r="J88" s="55" t="n"/>
    </row>
    <row r="89">
      <c r="B89" s="57" t="n">
        <v>73</v>
      </c>
      <c r="C89" s="55" t="n"/>
      <c r="D89" s="55" t="n"/>
      <c r="E89" s="55" t="n"/>
      <c r="F89" s="55" t="n"/>
      <c r="G89" s="55" t="n"/>
      <c r="H89" s="55" t="n"/>
      <c r="I89" s="55" t="n"/>
      <c r="J89" s="55" t="n"/>
    </row>
    <row r="90">
      <c r="B90" s="57" t="n">
        <v>74</v>
      </c>
      <c r="C90" s="55" t="n"/>
      <c r="D90" s="55" t="n"/>
      <c r="E90" s="55" t="n"/>
      <c r="F90" s="55" t="n"/>
      <c r="G90" s="55" t="n"/>
      <c r="H90" s="55" t="n"/>
      <c r="I90" s="55" t="n"/>
      <c r="J90" s="55" t="n"/>
    </row>
    <row r="91">
      <c r="B91" s="57" t="n">
        <v>75</v>
      </c>
      <c r="C91" s="55" t="n"/>
      <c r="D91" s="55" t="n"/>
      <c r="E91" s="55" t="n"/>
      <c r="F91" s="55" t="n"/>
      <c r="G91" s="55" t="n"/>
      <c r="H91" s="55" t="n"/>
      <c r="I91" s="55" t="n"/>
      <c r="J91" s="55" t="n"/>
    </row>
    <row r="92">
      <c r="B92" s="57" t="n">
        <v>76</v>
      </c>
      <c r="C92" s="55" t="n"/>
      <c r="D92" s="55" t="n"/>
      <c r="E92" s="55" t="n"/>
      <c r="F92" s="55" t="n"/>
      <c r="G92" s="55" t="n"/>
      <c r="H92" s="55" t="n"/>
      <c r="I92" s="55" t="n"/>
      <c r="J92" s="55" t="n"/>
    </row>
    <row r="93">
      <c r="B93" s="57" t="n">
        <v>77</v>
      </c>
      <c r="C93" s="55" t="n"/>
      <c r="D93" s="55" t="n"/>
      <c r="E93" s="55" t="n"/>
      <c r="F93" s="55" t="n"/>
      <c r="G93" s="55" t="n"/>
      <c r="H93" s="55" t="n"/>
      <c r="I93" s="55" t="n"/>
      <c r="J93" s="55" t="n"/>
    </row>
    <row r="94">
      <c r="B94" s="57" t="n">
        <v>78</v>
      </c>
      <c r="C94" s="55" t="n"/>
      <c r="D94" s="55" t="n"/>
      <c r="E94" s="55" t="n"/>
      <c r="F94" s="55" t="n"/>
      <c r="G94" s="55" t="n"/>
      <c r="H94" s="55" t="n"/>
      <c r="I94" s="55" t="n"/>
      <c r="J94" s="55" t="n"/>
    </row>
    <row r="95">
      <c r="B95" s="57" t="n">
        <v>79</v>
      </c>
      <c r="C95" s="55" t="n"/>
      <c r="D95" s="55" t="n"/>
      <c r="E95" s="55" t="n"/>
      <c r="F95" s="55" t="n"/>
      <c r="G95" s="55" t="n"/>
      <c r="H95" s="55" t="n"/>
      <c r="I95" s="55" t="n"/>
      <c r="J95" s="55" t="n"/>
    </row>
    <row r="96">
      <c r="B96" s="57" t="n">
        <v>80</v>
      </c>
      <c r="C96" s="55" t="n"/>
      <c r="D96" s="55" t="n"/>
      <c r="E96" s="55" t="n"/>
      <c r="F96" s="55" t="n"/>
      <c r="G96" s="55" t="n"/>
      <c r="H96" s="55" t="n"/>
      <c r="I96" s="55" t="n"/>
      <c r="J96" s="55" t="n"/>
    </row>
    <row r="97">
      <c r="B97" s="57" t="n">
        <v>81</v>
      </c>
      <c r="C97" s="55" t="n"/>
      <c r="D97" s="55" t="n"/>
      <c r="E97" s="55" t="n"/>
      <c r="F97" s="55" t="n"/>
      <c r="G97" s="55" t="n"/>
      <c r="H97" s="55" t="n"/>
      <c r="I97" s="55" t="n"/>
      <c r="J97" s="55" t="n"/>
    </row>
    <row r="98">
      <c r="B98" s="57" t="n">
        <v>82</v>
      </c>
      <c r="C98" s="55" t="n"/>
      <c r="D98" s="55" t="n"/>
      <c r="E98" s="55" t="n"/>
      <c r="F98" s="55" t="n"/>
      <c r="G98" s="55" t="n"/>
      <c r="H98" s="55" t="n"/>
      <c r="I98" s="55" t="n"/>
      <c r="J98" s="55" t="n"/>
    </row>
    <row r="99">
      <c r="B99" s="57" t="n">
        <v>83</v>
      </c>
      <c r="C99" s="55" t="n"/>
      <c r="D99" s="55" t="n"/>
      <c r="E99" s="55" t="n"/>
      <c r="F99" s="55" t="n"/>
      <c r="G99" s="55" t="n"/>
      <c r="H99" s="55" t="n"/>
      <c r="I99" s="55" t="n"/>
      <c r="J99" s="55" t="n"/>
    </row>
    <row r="100">
      <c r="B100" s="57" t="n">
        <v>84</v>
      </c>
      <c r="C100" s="55" t="n"/>
      <c r="D100" s="55" t="n"/>
      <c r="E100" s="55" t="n"/>
      <c r="F100" s="55" t="n"/>
      <c r="G100" s="55" t="n"/>
      <c r="H100" s="55" t="n"/>
      <c r="I100" s="55" t="n"/>
      <c r="J100" s="55" t="n"/>
    </row>
    <row r="101">
      <c r="B101" s="57" t="n">
        <v>85</v>
      </c>
      <c r="C101" s="55" t="n"/>
      <c r="D101" s="55" t="n"/>
      <c r="E101" s="55" t="n"/>
      <c r="F101" s="55" t="n"/>
      <c r="G101" s="55" t="n"/>
      <c r="H101" s="55" t="n"/>
      <c r="I101" s="55" t="n"/>
      <c r="J101" s="55" t="n"/>
    </row>
    <row r="102">
      <c r="B102" s="57" t="n">
        <v>86</v>
      </c>
      <c r="C102" s="55" t="n"/>
      <c r="D102" s="55" t="n"/>
      <c r="E102" s="55" t="n"/>
      <c r="F102" s="55" t="n"/>
      <c r="G102" s="55" t="n"/>
      <c r="H102" s="55" t="n"/>
      <c r="I102" s="55" t="n"/>
      <c r="J102" s="55" t="n"/>
    </row>
    <row r="103">
      <c r="B103" s="57" t="n">
        <v>87</v>
      </c>
      <c r="C103" s="55" t="n"/>
      <c r="D103" s="55" t="n"/>
      <c r="E103" s="55" t="n"/>
      <c r="F103" s="55" t="n"/>
      <c r="G103" s="55" t="n"/>
      <c r="H103" s="55" t="n"/>
      <c r="I103" s="55" t="n"/>
      <c r="J103" s="55" t="n"/>
    </row>
    <row r="104">
      <c r="B104" s="57" t="n">
        <v>88</v>
      </c>
      <c r="C104" s="55" t="n"/>
      <c r="D104" s="55" t="n"/>
      <c r="E104" s="55" t="n"/>
      <c r="F104" s="55" t="n"/>
      <c r="G104" s="55" t="n"/>
      <c r="H104" s="55" t="n"/>
      <c r="I104" s="55" t="n"/>
      <c r="J104" s="55" t="n"/>
    </row>
    <row r="105">
      <c r="B105" s="57" t="n">
        <v>89</v>
      </c>
      <c r="C105" s="55" t="n"/>
      <c r="D105" s="55" t="n"/>
      <c r="E105" s="55" t="n"/>
      <c r="F105" s="55" t="n"/>
      <c r="G105" s="55" t="n"/>
      <c r="H105" s="55" t="n"/>
      <c r="I105" s="55" t="n"/>
      <c r="J105" s="55" t="n"/>
    </row>
    <row r="106">
      <c r="B106" s="57" t="n">
        <v>90</v>
      </c>
      <c r="C106" s="55" t="n"/>
      <c r="D106" s="55" t="n"/>
      <c r="E106" s="55" t="n"/>
      <c r="F106" s="55" t="n"/>
      <c r="G106" s="55" t="n"/>
      <c r="H106" s="55" t="n"/>
      <c r="I106" s="55" t="n"/>
      <c r="J106" s="55" t="n"/>
    </row>
    <row r="107">
      <c r="B107" s="57" t="n">
        <v>91</v>
      </c>
      <c r="C107" s="55" t="n"/>
      <c r="D107" s="55" t="n"/>
      <c r="E107" s="55" t="n"/>
      <c r="F107" s="55" t="n"/>
      <c r="G107" s="55" t="n"/>
      <c r="H107" s="55" t="n"/>
      <c r="I107" s="55" t="n"/>
      <c r="J107" s="55" t="n"/>
    </row>
    <row r="108">
      <c r="B108" s="57" t="n">
        <v>92</v>
      </c>
      <c r="C108" s="55" t="n"/>
      <c r="D108" s="55" t="n"/>
      <c r="E108" s="55" t="n"/>
      <c r="F108" s="55" t="n"/>
      <c r="G108" s="55" t="n"/>
      <c r="H108" s="55" t="n"/>
      <c r="I108" s="55" t="n"/>
      <c r="J108" s="55" t="n"/>
    </row>
    <row r="109">
      <c r="B109" s="57" t="n">
        <v>93</v>
      </c>
      <c r="C109" s="55" t="n"/>
      <c r="D109" s="55" t="n"/>
      <c r="E109" s="55" t="n"/>
      <c r="F109" s="55" t="n"/>
      <c r="G109" s="55" t="n"/>
      <c r="H109" s="55" t="n"/>
      <c r="I109" s="55" t="n"/>
      <c r="J109" s="55" t="n"/>
    </row>
    <row r="110">
      <c r="B110" s="57" t="n">
        <v>94</v>
      </c>
      <c r="C110" s="55" t="n"/>
      <c r="D110" s="55" t="n"/>
      <c r="E110" s="55" t="n"/>
      <c r="F110" s="55" t="n"/>
      <c r="G110" s="55" t="n"/>
      <c r="H110" s="55" t="n"/>
      <c r="I110" s="55" t="n"/>
      <c r="J110" s="55" t="n"/>
    </row>
    <row r="111">
      <c r="B111" s="57" t="n">
        <v>95</v>
      </c>
      <c r="C111" s="55" t="n"/>
      <c r="D111" s="55" t="n"/>
      <c r="E111" s="55" t="n"/>
      <c r="F111" s="55" t="n"/>
      <c r="G111" s="55" t="n"/>
      <c r="H111" s="55" t="n"/>
      <c r="I111" s="55" t="n"/>
      <c r="J111" s="55" t="n"/>
    </row>
    <row r="112">
      <c r="B112" s="57" t="n">
        <v>96</v>
      </c>
      <c r="C112" s="55" t="n"/>
      <c r="D112" s="55" t="n"/>
      <c r="E112" s="55" t="n"/>
      <c r="F112" s="55" t="n"/>
      <c r="G112" s="55" t="n"/>
      <c r="H112" s="55" t="n"/>
      <c r="I112" s="55" t="n"/>
      <c r="J112" s="55" t="n"/>
    </row>
    <row r="113">
      <c r="B113" s="57" t="n">
        <v>97</v>
      </c>
      <c r="C113" s="55" t="n"/>
      <c r="D113" s="55" t="n"/>
      <c r="E113" s="55" t="n"/>
      <c r="F113" s="55" t="n"/>
      <c r="G113" s="55" t="n"/>
      <c r="H113" s="55" t="n"/>
      <c r="I113" s="55" t="n"/>
      <c r="J113" s="55" t="n"/>
    </row>
    <row r="114">
      <c r="B114" s="57" t="n">
        <v>98</v>
      </c>
      <c r="C114" s="55" t="n"/>
      <c r="D114" s="55" t="n"/>
      <c r="E114" s="55" t="n"/>
      <c r="F114" s="55" t="n"/>
      <c r="G114" s="55" t="n"/>
      <c r="H114" s="55" t="n"/>
      <c r="I114" s="55" t="n"/>
      <c r="J114" s="55" t="n"/>
    </row>
    <row r="115">
      <c r="B115" s="57" t="n">
        <v>99</v>
      </c>
      <c r="C115" s="55" t="n"/>
      <c r="D115" s="55" t="n"/>
      <c r="E115" s="55" t="n"/>
      <c r="F115" s="55" t="n"/>
      <c r="G115" s="55" t="n"/>
      <c r="H115" s="55" t="n"/>
      <c r="I115" s="55" t="n"/>
      <c r="J115" s="55" t="n"/>
    </row>
    <row r="116">
      <c r="B116" s="57" t="n">
        <v>100</v>
      </c>
      <c r="C116" s="55" t="n"/>
      <c r="D116" s="55" t="n"/>
      <c r="E116" s="55" t="n"/>
      <c r="F116" s="55" t="n"/>
      <c r="G116" s="55" t="n"/>
      <c r="H116" s="55" t="n"/>
      <c r="I116" s="55" t="n"/>
      <c r="J116" s="55" t="n"/>
    </row>
    <row r="117">
      <c r="B117" s="57" t="n">
        <v>101</v>
      </c>
      <c r="C117" s="55" t="n"/>
      <c r="D117" s="55" t="n"/>
      <c r="E117" s="55" t="n"/>
      <c r="F117" s="55" t="n"/>
      <c r="G117" s="55" t="n"/>
      <c r="H117" s="55" t="n"/>
      <c r="I117" s="55" t="n"/>
      <c r="J117" s="55" t="n"/>
    </row>
    <row r="118">
      <c r="B118" s="57" t="n">
        <v>102</v>
      </c>
      <c r="C118" s="55" t="n"/>
      <c r="D118" s="55" t="n"/>
      <c r="E118" s="55" t="n"/>
      <c r="F118" s="55" t="n"/>
      <c r="G118" s="55" t="n"/>
      <c r="H118" s="55" t="n"/>
      <c r="I118" s="55" t="n"/>
      <c r="J118" s="55" t="n"/>
    </row>
    <row r="119">
      <c r="B119" s="57" t="n">
        <v>103</v>
      </c>
      <c r="C119" s="55" t="n"/>
      <c r="D119" s="55" t="n"/>
      <c r="E119" s="55" t="n"/>
      <c r="F119" s="55" t="n"/>
      <c r="G119" s="55" t="n"/>
      <c r="H119" s="55" t="n"/>
      <c r="I119" s="55" t="n"/>
      <c r="J119" s="55" t="n"/>
    </row>
    <row r="120">
      <c r="B120" s="57" t="n">
        <v>104</v>
      </c>
      <c r="C120" s="55" t="n"/>
      <c r="D120" s="55" t="n"/>
      <c r="E120" s="55" t="n"/>
      <c r="F120" s="55" t="n"/>
      <c r="G120" s="55" t="n"/>
      <c r="H120" s="55" t="n"/>
      <c r="I120" s="55" t="n"/>
      <c r="J120" s="55" t="n"/>
    </row>
    <row r="121">
      <c r="B121" s="57" t="n">
        <v>105</v>
      </c>
      <c r="C121" s="55" t="n"/>
      <c r="D121" s="55" t="n"/>
      <c r="E121" s="55" t="n"/>
      <c r="F121" s="55" t="n"/>
      <c r="G121" s="55" t="n"/>
      <c r="H121" s="55" t="n"/>
      <c r="I121" s="55" t="n"/>
      <c r="J121" s="55" t="n"/>
    </row>
    <row r="122">
      <c r="B122" s="57" t="n">
        <v>106</v>
      </c>
      <c r="C122" s="55" t="n"/>
      <c r="D122" s="55" t="n"/>
      <c r="E122" s="55" t="n"/>
      <c r="F122" s="55" t="n"/>
      <c r="G122" s="55" t="n"/>
      <c r="H122" s="55" t="n"/>
      <c r="I122" s="55" t="n"/>
      <c r="J122" s="55" t="n"/>
    </row>
    <row r="123">
      <c r="B123" s="57" t="n">
        <v>107</v>
      </c>
      <c r="C123" s="55" t="n"/>
      <c r="D123" s="55" t="n"/>
      <c r="E123" s="55" t="n"/>
      <c r="F123" s="55" t="n"/>
      <c r="G123" s="55" t="n"/>
      <c r="H123" s="55" t="n"/>
      <c r="I123" s="55" t="n"/>
      <c r="J123" s="55" t="n"/>
    </row>
    <row r="124">
      <c r="B124" s="57" t="n">
        <v>108</v>
      </c>
      <c r="C124" s="55" t="n"/>
      <c r="D124" s="55" t="n"/>
      <c r="E124" s="55" t="n"/>
      <c r="F124" s="55" t="n"/>
      <c r="G124" s="55" t="n"/>
      <c r="H124" s="55" t="n"/>
      <c r="I124" s="55" t="n"/>
      <c r="J124" s="55" t="n"/>
    </row>
    <row r="125">
      <c r="B125" s="57" t="n">
        <v>109</v>
      </c>
      <c r="C125" s="55" t="n"/>
      <c r="D125" s="55" t="n"/>
      <c r="E125" s="55" t="n"/>
      <c r="F125" s="55" t="n"/>
      <c r="G125" s="55" t="n"/>
      <c r="H125" s="55" t="n"/>
      <c r="I125" s="55" t="n"/>
      <c r="J125" s="55" t="n"/>
    </row>
    <row r="126">
      <c r="B126" s="57" t="n">
        <v>110</v>
      </c>
      <c r="C126" s="55" t="n"/>
      <c r="D126" s="55" t="n"/>
      <c r="E126" s="55" t="n"/>
      <c r="F126" s="55" t="n"/>
      <c r="G126" s="55" t="n"/>
      <c r="H126" s="55" t="n"/>
      <c r="I126" s="55" t="n"/>
      <c r="J126" s="55" t="n"/>
    </row>
    <row r="127">
      <c r="B127" s="57" t="n">
        <v>111</v>
      </c>
      <c r="C127" s="55" t="n"/>
      <c r="D127" s="55" t="n"/>
      <c r="E127" s="55" t="n"/>
      <c r="F127" s="55" t="n"/>
      <c r="G127" s="55" t="n"/>
      <c r="H127" s="55" t="n"/>
      <c r="I127" s="55" t="n"/>
      <c r="J127" s="55" t="n"/>
    </row>
    <row r="128">
      <c r="B128" s="57" t="n">
        <v>112</v>
      </c>
      <c r="C128" s="55" t="n"/>
      <c r="D128" s="55" t="n"/>
      <c r="E128" s="55" t="n"/>
      <c r="F128" s="55" t="n"/>
      <c r="G128" s="55" t="n"/>
      <c r="H128" s="55" t="n"/>
      <c r="I128" s="55" t="n"/>
      <c r="J128" s="55" t="n"/>
    </row>
    <row r="129">
      <c r="B129" s="57" t="n">
        <v>113</v>
      </c>
      <c r="C129" s="55" t="n"/>
      <c r="D129" s="55" t="n"/>
      <c r="E129" s="55" t="n"/>
      <c r="F129" s="55" t="n"/>
      <c r="G129" s="55" t="n"/>
      <c r="H129" s="55" t="n"/>
      <c r="I129" s="55" t="n"/>
      <c r="J129" s="55" t="n"/>
    </row>
    <row r="130">
      <c r="B130" s="57" t="n">
        <v>114</v>
      </c>
      <c r="C130" s="55" t="n"/>
      <c r="D130" s="55" t="n"/>
      <c r="E130" s="55" t="n"/>
      <c r="F130" s="55" t="n"/>
      <c r="G130" s="55" t="n"/>
      <c r="H130" s="55" t="n"/>
      <c r="I130" s="55" t="n"/>
      <c r="J130" s="55" t="n"/>
    </row>
    <row r="131">
      <c r="B131" s="57" t="n">
        <v>115</v>
      </c>
      <c r="C131" s="55" t="n"/>
      <c r="D131" s="55" t="n"/>
      <c r="E131" s="55" t="n"/>
      <c r="F131" s="55" t="n"/>
      <c r="G131" s="55" t="n"/>
      <c r="H131" s="55" t="n"/>
      <c r="I131" s="55" t="n"/>
      <c r="J131" s="55" t="n"/>
    </row>
    <row r="132">
      <c r="B132" s="57" t="n">
        <v>116</v>
      </c>
      <c r="C132" s="55" t="n"/>
      <c r="D132" s="55" t="n"/>
      <c r="E132" s="55" t="n"/>
      <c r="F132" s="55" t="n"/>
      <c r="G132" s="55" t="n"/>
      <c r="H132" s="55" t="n"/>
      <c r="I132" s="55" t="n"/>
      <c r="J132" s="55" t="n"/>
    </row>
    <row r="133">
      <c r="B133" s="57" t="n">
        <v>117</v>
      </c>
      <c r="C133" s="55" t="n"/>
      <c r="D133" s="55" t="n"/>
      <c r="E133" s="55" t="n"/>
      <c r="F133" s="55" t="n"/>
      <c r="G133" s="55" t="n"/>
      <c r="H133" s="55" t="n"/>
      <c r="I133" s="55" t="n"/>
      <c r="J133" s="55" t="n"/>
    </row>
    <row r="134">
      <c r="B134" s="57" t="n">
        <v>118</v>
      </c>
      <c r="C134" s="55" t="n"/>
      <c r="D134" s="55" t="n"/>
      <c r="E134" s="55" t="n"/>
      <c r="F134" s="55" t="n"/>
      <c r="G134" s="55" t="n"/>
      <c r="H134" s="55" t="n"/>
      <c r="I134" s="55" t="n"/>
      <c r="J134" s="55" t="n"/>
    </row>
    <row r="135">
      <c r="B135" s="57" t="n">
        <v>119</v>
      </c>
      <c r="C135" s="55" t="n"/>
      <c r="D135" s="55" t="n"/>
      <c r="E135" s="55" t="n"/>
      <c r="F135" s="55" t="n"/>
      <c r="G135" s="55" t="n"/>
      <c r="H135" s="55" t="n"/>
      <c r="I135" s="55" t="n"/>
      <c r="J135" s="55" t="n"/>
    </row>
    <row r="136">
      <c r="B136" s="57" t="n">
        <v>120</v>
      </c>
      <c r="C136" s="55" t="n"/>
      <c r="D136" s="55" t="n"/>
      <c r="E136" s="55" t="n"/>
      <c r="F136" s="55" t="n"/>
      <c r="G136" s="55" t="n"/>
      <c r="H136" s="55" t="n"/>
      <c r="I136" s="55" t="n"/>
      <c r="J136" s="55" t="n"/>
    </row>
    <row r="137">
      <c r="B137" s="57" t="n">
        <v>121</v>
      </c>
      <c r="C137" s="55" t="n"/>
      <c r="D137" s="55" t="n"/>
      <c r="E137" s="55" t="n"/>
      <c r="F137" s="55" t="n"/>
      <c r="G137" s="55" t="n"/>
      <c r="H137" s="55" t="n"/>
      <c r="I137" s="55" t="n"/>
      <c r="J137" s="55" t="n"/>
    </row>
    <row r="138">
      <c r="B138" s="57" t="n">
        <v>122</v>
      </c>
      <c r="C138" s="55" t="n"/>
      <c r="D138" s="55" t="n"/>
      <c r="E138" s="55" t="n"/>
      <c r="F138" s="55" t="n"/>
      <c r="G138" s="55" t="n"/>
      <c r="H138" s="55" t="n"/>
      <c r="I138" s="55" t="n"/>
      <c r="J138" s="55" t="n"/>
    </row>
    <row r="139">
      <c r="B139" s="57" t="n">
        <v>123</v>
      </c>
      <c r="C139" s="55" t="n"/>
      <c r="D139" s="55" t="n"/>
      <c r="E139" s="55" t="n"/>
      <c r="F139" s="55" t="n"/>
      <c r="G139" s="55" t="n"/>
      <c r="H139" s="55" t="n"/>
      <c r="I139" s="55" t="n"/>
      <c r="J139" s="55" t="n"/>
    </row>
    <row r="140">
      <c r="B140" s="57" t="n">
        <v>124</v>
      </c>
      <c r="C140" s="55" t="n"/>
      <c r="D140" s="55" t="n"/>
      <c r="E140" s="55" t="n"/>
      <c r="F140" s="55" t="n"/>
      <c r="G140" s="55" t="n"/>
      <c r="H140" s="55" t="n"/>
      <c r="I140" s="55" t="n"/>
      <c r="J140" s="55" t="n"/>
    </row>
    <row r="141">
      <c r="B141" s="57" t="n">
        <v>125</v>
      </c>
      <c r="C141" s="55" t="n"/>
      <c r="D141" s="55" t="n"/>
      <c r="E141" s="55" t="n"/>
      <c r="F141" s="55" t="n"/>
      <c r="G141" s="55" t="n"/>
      <c r="H141" s="55" t="n"/>
      <c r="I141" s="55" t="n"/>
      <c r="J141" s="55" t="n"/>
    </row>
    <row r="142">
      <c r="B142" s="57" t="n">
        <v>126</v>
      </c>
      <c r="C142" s="55" t="n"/>
      <c r="D142" s="55" t="n"/>
      <c r="E142" s="55" t="n"/>
      <c r="F142" s="55" t="n"/>
      <c r="G142" s="55" t="n"/>
      <c r="H142" s="55" t="n"/>
      <c r="I142" s="55" t="n"/>
      <c r="J142" s="55" t="n"/>
    </row>
    <row r="143">
      <c r="B143" s="57" t="n">
        <v>127</v>
      </c>
      <c r="C143" s="55" t="n"/>
      <c r="D143" s="55" t="n"/>
      <c r="E143" s="55" t="n"/>
      <c r="F143" s="55" t="n"/>
      <c r="G143" s="55" t="n"/>
      <c r="H143" s="55" t="n"/>
      <c r="I143" s="55" t="n"/>
      <c r="J143" s="55" t="n"/>
    </row>
    <row r="144">
      <c r="B144" s="57" t="n">
        <v>128</v>
      </c>
      <c r="C144" s="55" t="n"/>
      <c r="D144" s="55" t="n"/>
      <c r="E144" s="55" t="n"/>
      <c r="F144" s="55" t="n"/>
      <c r="G144" s="55" t="n"/>
      <c r="H144" s="55" t="n"/>
      <c r="I144" s="55" t="n"/>
      <c r="J144" s="55" t="n"/>
    </row>
    <row r="145">
      <c r="B145" s="57" t="n">
        <v>129</v>
      </c>
      <c r="C145" s="55" t="n"/>
      <c r="D145" s="55" t="n"/>
      <c r="E145" s="55" t="n"/>
      <c r="F145" s="55" t="n"/>
      <c r="G145" s="55" t="n"/>
      <c r="H145" s="55" t="n"/>
      <c r="I145" s="55" t="n"/>
      <c r="J145" s="55" t="n"/>
    </row>
    <row r="146">
      <c r="B146" s="57" t="n">
        <v>130</v>
      </c>
      <c r="C146" s="55" t="n"/>
      <c r="D146" s="55" t="n"/>
      <c r="E146" s="55" t="n"/>
      <c r="F146" s="55" t="n"/>
      <c r="G146" s="55" t="n"/>
      <c r="H146" s="55" t="n"/>
      <c r="I146" s="55" t="n"/>
      <c r="J146" s="55" t="n"/>
    </row>
    <row r="147">
      <c r="B147" s="57" t="n">
        <v>131</v>
      </c>
      <c r="C147" s="55" t="n"/>
      <c r="D147" s="55" t="n"/>
      <c r="E147" s="55" t="n"/>
      <c r="F147" s="55" t="n"/>
      <c r="G147" s="55" t="n"/>
      <c r="H147" s="55" t="n"/>
      <c r="I147" s="55" t="n"/>
      <c r="J147" s="55" t="n"/>
    </row>
    <row r="148">
      <c r="B148" s="57" t="n">
        <v>132</v>
      </c>
      <c r="C148" s="55" t="n"/>
      <c r="D148" s="55" t="n"/>
      <c r="E148" s="55" t="n"/>
      <c r="F148" s="55" t="n"/>
      <c r="G148" s="55" t="n"/>
      <c r="H148" s="55" t="n"/>
      <c r="I148" s="55" t="n"/>
      <c r="J148" s="55" t="n"/>
    </row>
    <row r="149">
      <c r="B149" s="57" t="n">
        <v>133</v>
      </c>
      <c r="C149" s="55" t="n"/>
      <c r="D149" s="55" t="n"/>
      <c r="E149" s="55" t="n"/>
      <c r="F149" s="55" t="n"/>
      <c r="G149" s="55" t="n"/>
      <c r="H149" s="55" t="n"/>
      <c r="I149" s="55" t="n"/>
      <c r="J149" s="55" t="n"/>
    </row>
    <row r="150">
      <c r="B150" s="57" t="n">
        <v>134</v>
      </c>
      <c r="C150" s="55" t="n"/>
      <c r="D150" s="55" t="n"/>
      <c r="E150" s="55" t="n"/>
      <c r="F150" s="55" t="n"/>
      <c r="G150" s="55" t="n"/>
      <c r="H150" s="55" t="n"/>
      <c r="I150" s="55" t="n"/>
      <c r="J150" s="55" t="n"/>
    </row>
    <row r="151">
      <c r="B151" s="57" t="n">
        <v>135</v>
      </c>
      <c r="C151" s="55" t="n"/>
      <c r="D151" s="55" t="n"/>
      <c r="E151" s="55" t="n"/>
      <c r="F151" s="55" t="n"/>
      <c r="G151" s="55" t="n"/>
      <c r="H151" s="55" t="n"/>
      <c r="I151" s="55" t="n"/>
      <c r="J151" s="55" t="n"/>
    </row>
    <row r="152">
      <c r="B152" s="57" t="n">
        <v>136</v>
      </c>
      <c r="C152" s="55" t="n"/>
      <c r="D152" s="55" t="n"/>
      <c r="E152" s="55" t="n"/>
      <c r="F152" s="55" t="n"/>
      <c r="G152" s="55" t="n"/>
      <c r="H152" s="55" t="n"/>
      <c r="I152" s="55" t="n"/>
      <c r="J152" s="55" t="n"/>
    </row>
    <row r="153">
      <c r="B153" s="57" t="n">
        <v>137</v>
      </c>
      <c r="C153" s="55" t="n"/>
      <c r="D153" s="55" t="n"/>
      <c r="E153" s="55" t="n"/>
      <c r="F153" s="55" t="n"/>
      <c r="G153" s="55" t="n"/>
      <c r="H153" s="55" t="n"/>
      <c r="I153" s="55" t="n"/>
      <c r="J153" s="55" t="n"/>
    </row>
    <row r="154">
      <c r="B154" s="57" t="n">
        <v>138</v>
      </c>
      <c r="C154" s="55" t="n"/>
      <c r="D154" s="55" t="n"/>
      <c r="E154" s="55" t="n"/>
      <c r="F154" s="55" t="n"/>
      <c r="G154" s="55" t="n"/>
      <c r="H154" s="55" t="n"/>
      <c r="I154" s="55" t="n"/>
      <c r="J154" s="55" t="n"/>
    </row>
    <row r="155">
      <c r="B155" s="57" t="n">
        <v>139</v>
      </c>
      <c r="C155" s="55" t="n"/>
      <c r="D155" s="55" t="n"/>
      <c r="E155" s="55" t="n"/>
      <c r="F155" s="55" t="n"/>
      <c r="G155" s="55" t="n"/>
      <c r="H155" s="55" t="n"/>
      <c r="I155" s="55" t="n"/>
      <c r="J155" s="55" t="n"/>
    </row>
    <row r="156">
      <c r="B156" s="57" t="n">
        <v>140</v>
      </c>
      <c r="C156" s="55" t="n"/>
      <c r="D156" s="55" t="n"/>
      <c r="E156" s="55" t="n"/>
      <c r="F156" s="55" t="n"/>
      <c r="G156" s="55" t="n"/>
      <c r="H156" s="55" t="n"/>
      <c r="I156" s="55" t="n"/>
      <c r="J156" s="55" t="n"/>
    </row>
    <row r="157">
      <c r="B157" s="57" t="n">
        <v>141</v>
      </c>
      <c r="C157" s="55" t="n"/>
      <c r="D157" s="55" t="n"/>
      <c r="E157" s="55" t="n"/>
      <c r="F157" s="55" t="n"/>
      <c r="G157" s="55" t="n"/>
      <c r="H157" s="55" t="n"/>
      <c r="I157" s="55" t="n"/>
      <c r="J157" s="55" t="n"/>
    </row>
    <row r="158">
      <c r="B158" s="57" t="n">
        <v>142</v>
      </c>
      <c r="C158" s="55" t="n"/>
      <c r="D158" s="55" t="n"/>
      <c r="E158" s="55" t="n"/>
      <c r="F158" s="55" t="n"/>
      <c r="G158" s="55" t="n"/>
      <c r="H158" s="55" t="n"/>
      <c r="I158" s="55" t="n"/>
      <c r="J158" s="55" t="n"/>
    </row>
    <row r="159">
      <c r="B159" s="57" t="n">
        <v>143</v>
      </c>
      <c r="C159" s="55" t="n"/>
      <c r="D159" s="55" t="n"/>
      <c r="E159" s="55" t="n"/>
      <c r="F159" s="55" t="n"/>
      <c r="G159" s="55" t="n"/>
      <c r="H159" s="55" t="n"/>
      <c r="I159" s="55" t="n"/>
      <c r="J159" s="55" t="n"/>
    </row>
    <row r="160">
      <c r="B160" s="57" t="n">
        <v>144</v>
      </c>
      <c r="C160" s="55" t="n"/>
      <c r="D160" s="55" t="n"/>
      <c r="E160" s="55" t="n"/>
      <c r="F160" s="55" t="n"/>
      <c r="G160" s="55" t="n"/>
      <c r="H160" s="55" t="n"/>
      <c r="I160" s="55" t="n"/>
      <c r="J160" s="55" t="n"/>
    </row>
    <row r="161">
      <c r="B161" s="57" t="n">
        <v>145</v>
      </c>
      <c r="C161" s="55" t="n"/>
      <c r="D161" s="55" t="n"/>
      <c r="E161" s="55" t="n"/>
      <c r="F161" s="55" t="n"/>
      <c r="G161" s="55" t="n"/>
      <c r="H161" s="55" t="n"/>
      <c r="I161" s="55" t="n"/>
      <c r="J161" s="55" t="n"/>
    </row>
    <row r="162">
      <c r="B162" s="57" t="n">
        <v>146</v>
      </c>
      <c r="C162" s="55" t="n"/>
      <c r="D162" s="55" t="n"/>
      <c r="E162" s="55" t="n"/>
      <c r="F162" s="55" t="n"/>
      <c r="G162" s="55" t="n"/>
      <c r="H162" s="55" t="n"/>
      <c r="I162" s="55" t="n"/>
      <c r="J162" s="55" t="n"/>
    </row>
    <row r="163">
      <c r="B163" s="57" t="n">
        <v>147</v>
      </c>
      <c r="C163" s="55" t="n"/>
      <c r="D163" s="55" t="n"/>
      <c r="E163" s="55" t="n"/>
      <c r="F163" s="55" t="n"/>
      <c r="G163" s="55" t="n"/>
      <c r="H163" s="55" t="n"/>
      <c r="I163" s="55" t="n"/>
      <c r="J163" s="55" t="n"/>
    </row>
    <row r="164">
      <c r="B164" s="57" t="n">
        <v>148</v>
      </c>
      <c r="C164" s="55" t="n"/>
      <c r="D164" s="55" t="n"/>
      <c r="E164" s="55" t="n"/>
      <c r="F164" s="55" t="n"/>
      <c r="G164" s="55" t="n"/>
      <c r="H164" s="55" t="n"/>
      <c r="I164" s="55" t="n"/>
      <c r="J164" s="55" t="n"/>
    </row>
    <row r="165">
      <c r="B165" s="57" t="n">
        <v>149</v>
      </c>
      <c r="C165" s="55" t="n"/>
      <c r="D165" s="55" t="n"/>
      <c r="E165" s="55" t="n"/>
      <c r="F165" s="55" t="n"/>
      <c r="G165" s="55" t="n"/>
      <c r="H165" s="55" t="n"/>
      <c r="I165" s="55" t="n"/>
      <c r="J165" s="55" t="n"/>
    </row>
    <row r="166">
      <c r="B166" s="57" t="n">
        <v>150</v>
      </c>
      <c r="C166" s="55" t="n"/>
      <c r="D166" s="55" t="n"/>
      <c r="E166" s="55" t="n"/>
      <c r="F166" s="55" t="n"/>
      <c r="G166" s="55" t="n"/>
      <c r="H166" s="55" t="n"/>
      <c r="I166" s="55" t="n"/>
      <c r="J166" s="55" t="n"/>
    </row>
    <row r="167">
      <c r="B167" s="57" t="n">
        <v>151</v>
      </c>
      <c r="C167" s="55" t="n"/>
      <c r="D167" s="55" t="n"/>
      <c r="E167" s="55" t="n"/>
      <c r="F167" s="55" t="n"/>
      <c r="G167" s="55" t="n"/>
      <c r="H167" s="55" t="n"/>
      <c r="I167" s="55" t="n"/>
      <c r="J167" s="55" t="n"/>
    </row>
    <row r="168">
      <c r="B168" s="57" t="n">
        <v>152</v>
      </c>
      <c r="C168" s="55" t="n"/>
      <c r="D168" s="55" t="n"/>
      <c r="E168" s="55" t="n"/>
      <c r="F168" s="55" t="n"/>
      <c r="G168" s="55" t="n"/>
      <c r="H168" s="55" t="n"/>
      <c r="I168" s="55" t="n"/>
      <c r="J168" s="55" t="n"/>
    </row>
    <row r="169">
      <c r="B169" s="57" t="n">
        <v>153</v>
      </c>
      <c r="C169" s="55" t="n"/>
      <c r="D169" s="55" t="n"/>
      <c r="E169" s="55" t="n"/>
      <c r="F169" s="55" t="n"/>
      <c r="G169" s="55" t="n"/>
      <c r="H169" s="55" t="n"/>
      <c r="I169" s="55" t="n"/>
      <c r="J169" s="55" t="n"/>
    </row>
    <row r="170">
      <c r="B170" s="57" t="n">
        <v>154</v>
      </c>
      <c r="C170" s="55" t="n"/>
      <c r="D170" s="55" t="n"/>
      <c r="E170" s="55" t="n"/>
      <c r="F170" s="55" t="n"/>
      <c r="G170" s="55" t="n"/>
      <c r="H170" s="55" t="n"/>
      <c r="I170" s="55" t="n"/>
      <c r="J170" s="55" t="n"/>
    </row>
    <row r="171">
      <c r="B171" s="57" t="n">
        <v>155</v>
      </c>
      <c r="C171" s="55" t="n"/>
      <c r="D171" s="55" t="n"/>
      <c r="E171" s="55" t="n"/>
      <c r="F171" s="55" t="n"/>
      <c r="G171" s="55" t="n"/>
      <c r="H171" s="55" t="n"/>
      <c r="I171" s="55" t="n"/>
      <c r="J171" s="55" t="n"/>
    </row>
    <row r="172">
      <c r="B172" s="57" t="n">
        <v>156</v>
      </c>
      <c r="C172" s="55" t="n"/>
      <c r="D172" s="55" t="n"/>
      <c r="E172" s="55" t="n"/>
      <c r="F172" s="55" t="n"/>
      <c r="G172" s="55" t="n"/>
      <c r="H172" s="55" t="n"/>
      <c r="I172" s="55" t="n"/>
      <c r="J172" s="55" t="n"/>
    </row>
    <row r="173">
      <c r="B173" s="57" t="n">
        <v>157</v>
      </c>
      <c r="C173" s="55" t="n"/>
      <c r="D173" s="55" t="n"/>
      <c r="E173" s="55" t="n"/>
      <c r="F173" s="55" t="n"/>
      <c r="G173" s="55" t="n"/>
      <c r="H173" s="55" t="n"/>
      <c r="I173" s="55" t="n"/>
      <c r="J173" s="55" t="n"/>
    </row>
    <row r="174">
      <c r="B174" s="57" t="n">
        <v>158</v>
      </c>
      <c r="C174" s="55" t="n"/>
      <c r="D174" s="55" t="n"/>
      <c r="E174" s="55" t="n"/>
      <c r="F174" s="55" t="n"/>
      <c r="G174" s="55" t="n"/>
      <c r="H174" s="55" t="n"/>
      <c r="I174" s="55" t="n"/>
      <c r="J174" s="55" t="n"/>
    </row>
    <row r="175">
      <c r="B175" s="57" t="n">
        <v>159</v>
      </c>
      <c r="C175" s="55" t="n"/>
      <c r="D175" s="55" t="n"/>
      <c r="E175" s="55" t="n"/>
      <c r="F175" s="55" t="n"/>
      <c r="G175" s="55" t="n"/>
      <c r="H175" s="55" t="n"/>
      <c r="I175" s="55" t="n"/>
      <c r="J175" s="55" t="n"/>
    </row>
    <row r="176">
      <c r="B176" s="57" t="n">
        <v>160</v>
      </c>
      <c r="C176" s="55" t="n"/>
      <c r="D176" s="55" t="n"/>
      <c r="E176" s="55" t="n"/>
      <c r="F176" s="55" t="n"/>
      <c r="G176" s="55" t="n"/>
      <c r="H176" s="55" t="n"/>
      <c r="I176" s="55" t="n"/>
      <c r="J176" s="55" t="n"/>
    </row>
    <row r="177">
      <c r="B177" s="57" t="n">
        <v>161</v>
      </c>
      <c r="C177" s="55" t="n"/>
      <c r="D177" s="55" t="n"/>
      <c r="E177" s="55" t="n"/>
      <c r="F177" s="55" t="n"/>
      <c r="G177" s="55" t="n"/>
      <c r="H177" s="55" t="n"/>
      <c r="I177" s="55" t="n"/>
      <c r="J177" s="55" t="n"/>
    </row>
    <row r="178">
      <c r="B178" s="57" t="n">
        <v>162</v>
      </c>
      <c r="C178" s="55" t="n"/>
      <c r="D178" s="55" t="n"/>
      <c r="E178" s="55" t="n"/>
      <c r="F178" s="55" t="n"/>
      <c r="G178" s="55" t="n"/>
      <c r="H178" s="55" t="n"/>
      <c r="I178" s="55" t="n"/>
      <c r="J178" s="55" t="n"/>
    </row>
    <row r="179">
      <c r="B179" s="57" t="n">
        <v>163</v>
      </c>
      <c r="C179" s="55" t="n"/>
      <c r="D179" s="55" t="n"/>
      <c r="E179" s="55" t="n"/>
      <c r="F179" s="55" t="n"/>
      <c r="G179" s="55" t="n"/>
      <c r="H179" s="55" t="n"/>
      <c r="I179" s="55" t="n"/>
      <c r="J179" s="55" t="n"/>
    </row>
    <row r="180">
      <c r="B180" s="57" t="n">
        <v>164</v>
      </c>
      <c r="C180" s="55" t="n"/>
      <c r="D180" s="55" t="n"/>
      <c r="E180" s="55" t="n"/>
      <c r="F180" s="55" t="n"/>
      <c r="G180" s="55" t="n"/>
      <c r="H180" s="55" t="n"/>
      <c r="I180" s="55" t="n"/>
      <c r="J180" s="55" t="n"/>
    </row>
    <row r="181">
      <c r="B181" s="57" t="n">
        <v>165</v>
      </c>
      <c r="C181" s="55" t="n"/>
      <c r="D181" s="55" t="n"/>
      <c r="E181" s="55" t="n"/>
      <c r="F181" s="55" t="n"/>
      <c r="G181" s="55" t="n"/>
      <c r="H181" s="55" t="n"/>
      <c r="I181" s="55" t="n"/>
      <c r="J181" s="55" t="n"/>
    </row>
    <row r="182">
      <c r="B182" s="57" t="n">
        <v>166</v>
      </c>
      <c r="C182" s="55" t="n"/>
      <c r="D182" s="55" t="n"/>
      <c r="E182" s="55" t="n"/>
      <c r="F182" s="55" t="n"/>
      <c r="G182" s="55" t="n"/>
      <c r="H182" s="55" t="n"/>
      <c r="I182" s="55" t="n"/>
      <c r="J182" s="55" t="n"/>
    </row>
    <row r="183">
      <c r="B183" s="57" t="n">
        <v>167</v>
      </c>
      <c r="C183" s="55" t="n"/>
      <c r="D183" s="55" t="n"/>
      <c r="E183" s="55" t="n"/>
      <c r="F183" s="55" t="n"/>
      <c r="G183" s="55" t="n"/>
      <c r="H183" s="55" t="n"/>
      <c r="I183" s="55" t="n"/>
      <c r="J183" s="55" t="n"/>
    </row>
    <row r="184">
      <c r="B184" s="57" t="n">
        <v>168</v>
      </c>
      <c r="C184" s="55" t="n"/>
      <c r="D184" s="55" t="n"/>
      <c r="E184" s="55" t="n"/>
      <c r="F184" s="55" t="n"/>
      <c r="G184" s="55" t="n"/>
      <c r="H184" s="55" t="n"/>
      <c r="I184" s="55" t="n"/>
      <c r="J184" s="55" t="n"/>
    </row>
    <row r="185">
      <c r="B185" s="57" t="n">
        <v>169</v>
      </c>
      <c r="C185" s="55" t="n"/>
      <c r="D185" s="55" t="n"/>
      <c r="E185" s="55" t="n"/>
      <c r="F185" s="55" t="n"/>
      <c r="G185" s="55" t="n"/>
      <c r="H185" s="55" t="n"/>
      <c r="I185" s="55" t="n"/>
      <c r="J185" s="55" t="n"/>
    </row>
    <row r="186">
      <c r="B186" s="57" t="n">
        <v>170</v>
      </c>
      <c r="C186" s="55" t="n"/>
      <c r="D186" s="55" t="n"/>
      <c r="E186" s="55" t="n"/>
      <c r="F186" s="55" t="n"/>
      <c r="G186" s="55" t="n"/>
      <c r="H186" s="55" t="n"/>
      <c r="I186" s="55" t="n"/>
      <c r="J186" s="55" t="n"/>
    </row>
    <row r="187">
      <c r="B187" s="57" t="n">
        <v>171</v>
      </c>
      <c r="C187" s="55" t="n"/>
      <c r="D187" s="55" t="n"/>
      <c r="E187" s="55" t="n"/>
      <c r="F187" s="55" t="n"/>
      <c r="G187" s="55" t="n"/>
      <c r="H187" s="55" t="n"/>
      <c r="I187" s="55" t="n"/>
      <c r="J187" s="55" t="n"/>
    </row>
    <row r="188">
      <c r="B188" s="57" t="n">
        <v>172</v>
      </c>
      <c r="C188" s="55" t="n"/>
      <c r="D188" s="55" t="n"/>
      <c r="E188" s="55" t="n"/>
      <c r="F188" s="55" t="n"/>
      <c r="G188" s="55" t="n"/>
      <c r="H188" s="55" t="n"/>
      <c r="I188" s="55" t="n"/>
      <c r="J188" s="55" t="n"/>
    </row>
    <row r="189">
      <c r="B189" s="57" t="n">
        <v>173</v>
      </c>
      <c r="C189" s="55" t="n"/>
      <c r="D189" s="55" t="n"/>
      <c r="E189" s="55" t="n"/>
      <c r="F189" s="55" t="n"/>
      <c r="G189" s="55" t="n"/>
      <c r="H189" s="55" t="n"/>
      <c r="I189" s="55" t="n"/>
      <c r="J189" s="55" t="n"/>
    </row>
    <row r="190">
      <c r="B190" s="57" t="n">
        <v>174</v>
      </c>
      <c r="C190" s="55" t="n"/>
      <c r="D190" s="55" t="n"/>
      <c r="E190" s="55" t="n"/>
      <c r="F190" s="55" t="n"/>
      <c r="G190" s="55" t="n"/>
      <c r="H190" s="55" t="n"/>
      <c r="I190" s="55" t="n"/>
      <c r="J190" s="55" t="n"/>
    </row>
    <row r="191">
      <c r="B191" s="57" t="n">
        <v>175</v>
      </c>
      <c r="C191" s="55" t="n"/>
      <c r="D191" s="55" t="n"/>
      <c r="E191" s="55" t="n"/>
      <c r="F191" s="55" t="n"/>
      <c r="G191" s="55" t="n"/>
      <c r="H191" s="55" t="n"/>
      <c r="I191" s="55" t="n"/>
      <c r="J191" s="55" t="n"/>
    </row>
    <row r="192">
      <c r="B192" s="57" t="n">
        <v>176</v>
      </c>
      <c r="C192" s="55" t="n"/>
      <c r="D192" s="55" t="n"/>
      <c r="E192" s="55" t="n"/>
      <c r="F192" s="55" t="n"/>
      <c r="G192" s="55" t="n"/>
      <c r="H192" s="55" t="n"/>
      <c r="I192" s="55" t="n"/>
      <c r="J192" s="55" t="n"/>
    </row>
    <row r="193">
      <c r="B193" s="57" t="n">
        <v>177</v>
      </c>
      <c r="C193" s="55" t="n"/>
      <c r="D193" s="55" t="n"/>
      <c r="E193" s="55" t="n"/>
      <c r="F193" s="55" t="n"/>
      <c r="G193" s="55" t="n"/>
      <c r="H193" s="55" t="n"/>
      <c r="I193" s="55" t="n"/>
      <c r="J193" s="55" t="n"/>
    </row>
    <row r="194">
      <c r="B194" s="57" t="n">
        <v>178</v>
      </c>
      <c r="C194" s="55" t="n"/>
      <c r="D194" s="55" t="n"/>
      <c r="E194" s="55" t="n"/>
      <c r="F194" s="55" t="n"/>
      <c r="G194" s="55" t="n"/>
      <c r="H194" s="55" t="n"/>
      <c r="I194" s="55" t="n"/>
      <c r="J194" s="55" t="n"/>
    </row>
    <row r="195">
      <c r="B195" s="57" t="n">
        <v>179</v>
      </c>
      <c r="C195" s="55" t="n"/>
      <c r="D195" s="55" t="n"/>
      <c r="E195" s="55" t="n"/>
      <c r="F195" s="55" t="n"/>
      <c r="G195" s="55" t="n"/>
      <c r="H195" s="55" t="n"/>
      <c r="I195" s="55" t="n"/>
      <c r="J195" s="55" t="n"/>
    </row>
    <row r="196">
      <c r="B196" s="57" t="n">
        <v>180</v>
      </c>
      <c r="C196" s="55" t="n"/>
      <c r="D196" s="55" t="n"/>
      <c r="E196" s="55" t="n"/>
      <c r="F196" s="55" t="n"/>
      <c r="G196" s="55" t="n"/>
      <c r="H196" s="55" t="n"/>
      <c r="I196" s="55" t="n"/>
      <c r="J196" s="55" t="n"/>
    </row>
    <row r="197">
      <c r="B197" s="57" t="n">
        <v>181</v>
      </c>
      <c r="C197" s="55" t="n"/>
      <c r="D197" s="55" t="n"/>
      <c r="E197" s="55" t="n"/>
      <c r="F197" s="55" t="n"/>
      <c r="G197" s="55" t="n"/>
      <c r="H197" s="55" t="n"/>
      <c r="I197" s="55" t="n"/>
      <c r="J197" s="55" t="n"/>
    </row>
    <row r="198">
      <c r="B198" s="57" t="n">
        <v>182</v>
      </c>
      <c r="C198" s="55" t="n"/>
      <c r="D198" s="55" t="n"/>
      <c r="E198" s="55" t="n"/>
      <c r="F198" s="55" t="n"/>
      <c r="G198" s="55" t="n"/>
      <c r="H198" s="55" t="n"/>
      <c r="I198" s="55" t="n"/>
      <c r="J198" s="55" t="n"/>
    </row>
    <row r="199">
      <c r="B199" s="57" t="n">
        <v>183</v>
      </c>
      <c r="C199" s="55" t="n"/>
      <c r="D199" s="55" t="n"/>
      <c r="E199" s="55" t="n"/>
      <c r="F199" s="55" t="n"/>
      <c r="G199" s="55" t="n"/>
      <c r="H199" s="55" t="n"/>
      <c r="I199" s="55" t="n"/>
      <c r="J199" s="55" t="n"/>
    </row>
    <row r="200">
      <c r="B200" s="57" t="n">
        <v>184</v>
      </c>
      <c r="C200" s="55" t="n"/>
      <c r="D200" s="55" t="n"/>
      <c r="E200" s="55" t="n"/>
      <c r="F200" s="55" t="n"/>
      <c r="G200" s="55" t="n"/>
      <c r="H200" s="55" t="n"/>
      <c r="I200" s="55" t="n"/>
      <c r="J200" s="55" t="n"/>
    </row>
    <row r="201">
      <c r="B201" s="57" t="n">
        <v>185</v>
      </c>
      <c r="C201" s="55" t="n"/>
      <c r="D201" s="55" t="n"/>
      <c r="E201" s="55" t="n"/>
      <c r="F201" s="55" t="n"/>
      <c r="G201" s="55" t="n"/>
      <c r="H201" s="55" t="n"/>
      <c r="I201" s="55" t="n"/>
      <c r="J201" s="55" t="n"/>
    </row>
    <row r="202">
      <c r="B202" s="57" t="n">
        <v>186</v>
      </c>
      <c r="C202" s="55" t="n"/>
      <c r="D202" s="55" t="n"/>
      <c r="E202" s="55" t="n"/>
      <c r="F202" s="55" t="n"/>
      <c r="G202" s="55" t="n"/>
      <c r="H202" s="55" t="n"/>
      <c r="I202" s="55" t="n"/>
      <c r="J202" s="55" t="n"/>
    </row>
    <row r="203">
      <c r="B203" s="57" t="n">
        <v>187</v>
      </c>
      <c r="C203" s="55" t="n"/>
      <c r="D203" s="55" t="n"/>
      <c r="E203" s="55" t="n"/>
      <c r="F203" s="55" t="n"/>
      <c r="G203" s="55" t="n"/>
      <c r="H203" s="55" t="n"/>
      <c r="I203" s="55" t="n"/>
      <c r="J203" s="55" t="n"/>
    </row>
    <row r="204">
      <c r="B204" s="57" t="n">
        <v>188</v>
      </c>
      <c r="C204" s="55" t="n"/>
      <c r="D204" s="55" t="n"/>
      <c r="E204" s="55" t="n"/>
      <c r="F204" s="55" t="n"/>
      <c r="G204" s="55" t="n"/>
      <c r="H204" s="55" t="n"/>
      <c r="I204" s="55" t="n"/>
      <c r="J204" s="55" t="n"/>
    </row>
    <row r="205">
      <c r="B205" s="57" t="n">
        <v>189</v>
      </c>
      <c r="C205" s="55" t="n"/>
      <c r="D205" s="55" t="n"/>
      <c r="E205" s="55" t="n"/>
      <c r="F205" s="55" t="n"/>
      <c r="G205" s="55" t="n"/>
      <c r="H205" s="55" t="n"/>
      <c r="I205" s="55" t="n"/>
      <c r="J205" s="55" t="n"/>
    </row>
    <row r="206">
      <c r="B206" s="57" t="n">
        <v>190</v>
      </c>
      <c r="C206" s="55" t="n"/>
      <c r="D206" s="55" t="n"/>
      <c r="E206" s="55" t="n"/>
      <c r="F206" s="55" t="n"/>
      <c r="G206" s="55" t="n"/>
      <c r="H206" s="55" t="n"/>
      <c r="I206" s="55" t="n"/>
      <c r="J206" s="55" t="n"/>
    </row>
    <row r="207">
      <c r="B207" s="57" t="n">
        <v>191</v>
      </c>
      <c r="C207" s="55" t="n"/>
      <c r="D207" s="55" t="n"/>
      <c r="E207" s="55" t="n"/>
      <c r="F207" s="55" t="n"/>
      <c r="G207" s="55" t="n"/>
      <c r="H207" s="55" t="n"/>
      <c r="I207" s="55" t="n"/>
      <c r="J207" s="55" t="n"/>
    </row>
    <row r="208">
      <c r="B208" s="57" t="n">
        <v>192</v>
      </c>
      <c r="C208" s="55" t="n"/>
      <c r="D208" s="55" t="n"/>
      <c r="E208" s="55" t="n"/>
      <c r="F208" s="55" t="n"/>
      <c r="G208" s="55" t="n"/>
      <c r="H208" s="55" t="n"/>
      <c r="I208" s="55" t="n"/>
      <c r="J208" s="55" t="n"/>
    </row>
    <row r="209">
      <c r="B209" s="57" t="n">
        <v>193</v>
      </c>
      <c r="C209" s="55" t="n"/>
      <c r="D209" s="55" t="n"/>
      <c r="E209" s="55" t="n"/>
      <c r="F209" s="55" t="n"/>
      <c r="G209" s="55" t="n"/>
      <c r="H209" s="55" t="n"/>
      <c r="I209" s="55" t="n"/>
      <c r="J209" s="55" t="n"/>
    </row>
    <row r="210">
      <c r="B210" s="57" t="n">
        <v>194</v>
      </c>
      <c r="C210" s="55" t="n"/>
      <c r="D210" s="55" t="n"/>
      <c r="E210" s="55" t="n"/>
      <c r="F210" s="55" t="n"/>
      <c r="G210" s="55" t="n"/>
      <c r="H210" s="55" t="n"/>
      <c r="I210" s="55" t="n"/>
      <c r="J210" s="55" t="n"/>
    </row>
    <row r="211">
      <c r="B211" s="57" t="n">
        <v>195</v>
      </c>
      <c r="C211" s="55" t="n"/>
      <c r="D211" s="55" t="n"/>
      <c r="E211" s="55" t="n"/>
      <c r="F211" s="55" t="n"/>
      <c r="G211" s="55" t="n"/>
      <c r="H211" s="55" t="n"/>
      <c r="I211" s="55" t="n"/>
      <c r="J211" s="55" t="n"/>
    </row>
    <row r="212">
      <c r="B212" s="57" t="n">
        <v>196</v>
      </c>
      <c r="C212" s="55" t="n"/>
      <c r="D212" s="55" t="n"/>
      <c r="E212" s="55" t="n"/>
      <c r="F212" s="55" t="n"/>
      <c r="G212" s="55" t="n"/>
      <c r="H212" s="55" t="n"/>
      <c r="I212" s="55" t="n"/>
      <c r="J212" s="55" t="n"/>
    </row>
    <row r="213">
      <c r="B213" s="57" t="n">
        <v>197</v>
      </c>
      <c r="C213" s="55" t="n"/>
      <c r="D213" s="55" t="n"/>
      <c r="E213" s="55" t="n"/>
      <c r="F213" s="55" t="n"/>
      <c r="G213" s="55" t="n"/>
      <c r="H213" s="55" t="n"/>
      <c r="I213" s="55" t="n"/>
      <c r="J213" s="55" t="n"/>
    </row>
    <row r="214">
      <c r="B214" s="57" t="n">
        <v>198</v>
      </c>
      <c r="C214" s="55" t="n"/>
      <c r="D214" s="55" t="n"/>
      <c r="E214" s="55" t="n"/>
      <c r="F214" s="55" t="n"/>
      <c r="G214" s="55" t="n"/>
      <c r="H214" s="55" t="n"/>
      <c r="I214" s="55" t="n"/>
      <c r="J214" s="55" t="n"/>
    </row>
    <row r="215">
      <c r="B215" s="57" t="n">
        <v>199</v>
      </c>
      <c r="C215" s="55" t="n"/>
      <c r="D215" s="55" t="n"/>
      <c r="E215" s="55" t="n"/>
      <c r="F215" s="55" t="n"/>
      <c r="G215" s="55" t="n"/>
      <c r="H215" s="55" t="n"/>
      <c r="I215" s="55" t="n"/>
      <c r="J215" s="55" t="n"/>
    </row>
    <row r="216">
      <c r="B216" s="57" t="n">
        <v>200</v>
      </c>
      <c r="C216" s="55" t="n"/>
      <c r="D216" s="55" t="n"/>
      <c r="E216" s="55" t="n"/>
      <c r="F216" s="55" t="n"/>
      <c r="G216" s="55" t="n"/>
      <c r="H216" s="55" t="n"/>
      <c r="I216" s="55" t="n"/>
      <c r="J216" s="55" t="n"/>
    </row>
    <row r="217"/>
    <row r="218"/>
    <row r="219">
      <c r="B219" s="5" t="inlineStr">
        <is>
          <t>ASSUMPTION JOURNAL (what the agent changed + why)</t>
        </is>
      </c>
    </row>
    <row r="220">
      <c r="B220" s="56" t="inlineStr">
        <is>
          <t>Assumption</t>
        </is>
      </c>
      <c r="C220" s="56" t="inlineStr">
        <is>
          <t>Scenario</t>
        </is>
      </c>
      <c r="D220" s="56" t="inlineStr">
        <is>
          <t>Value</t>
        </is>
      </c>
      <c r="E220" s="56" t="inlineStr">
        <is>
          <t>Unit</t>
        </is>
      </c>
      <c r="F220" s="56" t="inlineStr">
        <is>
          <t>Where in model</t>
        </is>
      </c>
      <c r="G220" s="56" t="inlineStr">
        <is>
          <t>Source</t>
        </is>
      </c>
      <c r="H220" s="56" t="inlineStr">
        <is>
          <t>Method</t>
        </is>
      </c>
      <c r="I220" s="56" t="inlineStr">
        <is>
          <t>Rationale (high-level)</t>
        </is>
      </c>
      <c r="J220" s="56" t="inlineStr">
        <is>
          <t>Confidence</t>
        </is>
      </c>
      <c r="K220" t="inlineStr" s="56">
        <is>
          <t>Reviewer</t>
        </is>
      </c>
    </row>
    <row r="221"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t="n" s="55">
        <v/>
      </c>
    </row>
    <row r="222"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t="n" s="55">
        <v/>
      </c>
    </row>
    <row r="223"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t="n" s="55">
        <v/>
      </c>
    </row>
    <row r="224"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t="n" s="55">
        <v/>
      </c>
    </row>
    <row r="225"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t="n" s="55">
        <v/>
      </c>
    </row>
    <row r="226"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t="n" s="55">
        <v/>
      </c>
    </row>
    <row r="227"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t="n" s="55">
        <v/>
      </c>
    </row>
    <row r="228"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t="n" s="55">
        <v/>
      </c>
    </row>
    <row r="229"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t="n" s="55">
        <v/>
      </c>
    </row>
    <row r="230"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t="n" s="55">
        <v/>
      </c>
    </row>
    <row r="231"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t="n" s="55">
        <v/>
      </c>
    </row>
    <row r="232"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t="n" s="55">
        <v/>
      </c>
    </row>
    <row r="233"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t="n" s="55">
        <v/>
      </c>
    </row>
    <row r="234"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t="n" s="55">
        <v/>
      </c>
    </row>
    <row r="235"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t="n" s="55">
        <v/>
      </c>
    </row>
    <row r="236"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t="n" s="55">
        <v/>
      </c>
    </row>
    <row r="237"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t="n" s="55">
        <v/>
      </c>
    </row>
    <row r="238"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t="n" s="55">
        <v/>
      </c>
    </row>
    <row r="239"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t="n" s="55">
        <v/>
      </c>
    </row>
    <row r="240"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t="n" s="55">
        <v/>
      </c>
    </row>
    <row r="241"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t="n" s="55">
        <v/>
      </c>
    </row>
    <row r="242"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t="n" s="55">
        <v/>
      </c>
    </row>
    <row r="243"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t="n" s="55">
        <v/>
      </c>
    </row>
    <row r="244"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t="n" s="55">
        <v/>
      </c>
    </row>
    <row r="245"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t="n" s="55">
        <v/>
      </c>
    </row>
    <row r="246"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t="n" s="55">
        <v/>
      </c>
    </row>
    <row r="247"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t="n" s="55">
        <v/>
      </c>
    </row>
    <row r="248"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t="n" s="55">
        <v/>
      </c>
    </row>
    <row r="249">
      <c r="B249" s="5" t="inlineStr">
        <is>
          <t>STORY JOURNAL (scenario narrative -&gt; valuation linkage)</t>
        </is>
      </c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t="n" s="55">
        <v/>
      </c>
    </row>
    <row r="250">
      <c r="B250" s="56" t="inlineStr">
        <is>
          <t>Scenario</t>
        </is>
      </c>
      <c r="C250" s="56" t="inlineStr">
        <is>
          <t>Story claim</t>
        </is>
      </c>
      <c r="D250" s="56" t="inlineStr">
        <is>
          <t>Linked metric / range</t>
        </is>
      </c>
      <c r="E250" s="56" t="inlineStr">
        <is>
          <t>Supporting evidence</t>
        </is>
      </c>
      <c r="F250" s="56" t="inlineStr">
        <is>
          <t>Risk to claim</t>
        </is>
      </c>
      <c r="G250" s="56" t="inlineStr">
        <is>
          <t>Catalyst</t>
        </is>
      </c>
      <c r="H250" s="56" t="inlineStr">
        <is>
          <t>Update trigger</t>
        </is>
      </c>
      <c r="I250" s="56" t="inlineStr">
        <is>
          <t>Confidence</t>
        </is>
      </c>
      <c r="J250" s="56" t="inlineStr">
        <is>
          <t>Reviewer</t>
        </is>
      </c>
      <c r="K250" t="n" s="55">
        <v/>
      </c>
    </row>
    <row r="251"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t="n" s="55">
        <v/>
      </c>
    </row>
    <row r="252"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t="n" s="55">
        <v/>
      </c>
    </row>
    <row r="253"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t="n" s="55">
        <v/>
      </c>
    </row>
    <row r="254"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t="n" s="55">
        <v/>
      </c>
    </row>
    <row r="255"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t="n" s="55">
        <v/>
      </c>
    </row>
    <row r="256"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t="n" s="55">
        <v/>
      </c>
    </row>
    <row r="257"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t="n" s="55">
        <v/>
      </c>
    </row>
    <row r="258"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t="n" s="55">
        <v/>
      </c>
    </row>
    <row r="259"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t="n" s="55">
        <v/>
      </c>
    </row>
    <row r="260"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t="n" s="55">
        <v/>
      </c>
    </row>
    <row r="261"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t="n" s="55">
        <v/>
      </c>
    </row>
    <row r="262"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t="n" s="55">
        <v/>
      </c>
    </row>
    <row r="263"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t="n" s="55">
        <v/>
      </c>
    </row>
    <row r="264"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t="n" s="55">
        <v/>
      </c>
    </row>
    <row r="265"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t="n" s="55">
        <v/>
      </c>
    </row>
    <row r="266"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t="n" s="55">
        <v/>
      </c>
    </row>
    <row r="267"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t="n" s="55">
        <v/>
      </c>
    </row>
    <row r="268"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t="n" s="55">
        <v/>
      </c>
    </row>
    <row r="269"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t="n" s="55">
        <v/>
      </c>
    </row>
    <row r="270"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t="n" s="55">
        <v/>
      </c>
    </row>
    <row r="271"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t="n" s="55">
        <v/>
      </c>
    </row>
    <row r="272"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t="n" s="55">
        <v/>
      </c>
    </row>
    <row r="273"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t="n" s="55">
        <v/>
      </c>
    </row>
    <row r="274"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t="n" s="55">
        <v/>
      </c>
    </row>
    <row r="275"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t="n" s="55">
        <v/>
      </c>
    </row>
    <row r="276"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t="n" s="55">
        <v/>
      </c>
    </row>
    <row r="277"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t="n" s="55">
        <v/>
      </c>
    </row>
    <row r="278"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t="n" s="55">
        <v/>
      </c>
    </row>
    <row r="279"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t="n" s="55">
        <v/>
      </c>
    </row>
    <row r="280"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t="n" s="55">
        <v/>
      </c>
    </row>
    <row r="281"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t="n" s="55">
        <v/>
      </c>
    </row>
    <row r="282"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t="n" s="55">
        <v/>
      </c>
    </row>
    <row r="283"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t="n" s="55">
        <v/>
      </c>
    </row>
    <row r="284"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t="n" s="55">
        <v/>
      </c>
    </row>
    <row r="285"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t="n" s="55">
        <v/>
      </c>
    </row>
    <row r="286"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t="n" s="55">
        <v/>
      </c>
    </row>
    <row r="287"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t="n" s="55">
        <v/>
      </c>
    </row>
    <row r="288"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t="n" s="55">
        <v/>
      </c>
    </row>
    <row r="289"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t="n" s="55">
        <v/>
      </c>
    </row>
    <row r="290"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t="n" s="55">
        <v/>
      </c>
    </row>
    <row r="291"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t="n" s="55">
        <v/>
      </c>
    </row>
    <row r="292"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t="n" s="55">
        <v/>
      </c>
    </row>
    <row r="293"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t="n" s="55">
        <v/>
      </c>
    </row>
    <row r="294"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t="n" s="55">
        <v/>
      </c>
    </row>
    <row r="295"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t="n" s="55">
        <v/>
      </c>
    </row>
    <row r="296"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t="n" s="55">
        <v/>
      </c>
    </row>
    <row r="297"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t="n" s="55">
        <v/>
      </c>
    </row>
    <row r="298"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t="n" s="55">
        <v/>
      </c>
    </row>
    <row r="299"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t="n" s="55">
        <v/>
      </c>
    </row>
    <row r="300"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t="n" s="55">
        <v/>
      </c>
    </row>
    <row r="301">
      <c r="K301" t="n" s="55">
        <v/>
      </c>
    </row>
    <row r="302">
      <c r="K302" t="n" s="55">
        <v/>
      </c>
    </row>
    <row r="303">
      <c r="B303" s="5" t="inlineStr">
        <is>
          <t>RUN NARRATIVE SUMMARY (1-2 paragraphs, reproducible)</t>
        </is>
      </c>
      <c r="K303" t="n" s="55">
        <v/>
      </c>
    </row>
    <row r="304">
      <c r="B304" s="55" t="inlineStr"/>
      <c r="C304" s="58" t="n"/>
      <c r="D304" s="58" t="n"/>
      <c r="E304" s="58" t="n"/>
      <c r="F304" s="58" t="n"/>
      <c r="G304" s="58" t="n"/>
      <c r="H304" s="58" t="n"/>
      <c r="I304" s="58" t="n"/>
      <c r="J304" s="59" t="n"/>
      <c r="K304" t="n" s="55">
        <v/>
      </c>
    </row>
    <row r="305">
      <c r="B305" s="60" t="n"/>
      <c r="J305" s="61" t="n"/>
      <c r="K305" t="n" s="55">
        <v/>
      </c>
    </row>
    <row r="306">
      <c r="B306" s="60" t="n"/>
      <c r="J306" s="61" t="n"/>
      <c r="K306" t="n" s="55">
        <v/>
      </c>
    </row>
    <row r="307">
      <c r="B307" s="60" t="n"/>
      <c r="J307" s="61" t="n"/>
      <c r="K307" t="n" s="55">
        <v/>
      </c>
    </row>
    <row r="308">
      <c r="B308" s="60" t="n"/>
      <c r="J308" s="61" t="n"/>
      <c r="K308" t="n" s="55">
        <v/>
      </c>
    </row>
    <row r="309">
      <c r="B309" s="60" t="n"/>
      <c r="J309" s="61" t="n"/>
      <c r="K309" t="n" s="55">
        <v/>
      </c>
    </row>
    <row r="310">
      <c r="B310" s="60" t="n"/>
      <c r="J310" s="61" t="n"/>
      <c r="K310" t="n" s="55">
        <v/>
      </c>
    </row>
    <row r="311">
      <c r="B311" s="62" t="n"/>
      <c r="C311" s="63" t="n"/>
      <c r="D311" s="63" t="n"/>
      <c r="E311" s="63" t="n"/>
      <c r="F311" s="63" t="n"/>
      <c r="G311" s="63" t="n"/>
      <c r="H311" s="63" t="n"/>
      <c r="I311" s="63" t="n"/>
      <c r="J311" s="64" t="n"/>
      <c r="K311" t="n" s="55">
        <v/>
      </c>
    </row>
  </sheetData>
  <autoFilter ref="B16:J216"/>
  <mergeCells count="8">
    <mergeCell ref="B15:J15"/>
    <mergeCell ref="B3:J3"/>
    <mergeCell ref="B5:J5"/>
    <mergeCell ref="B304:J311"/>
    <mergeCell ref="B219:J219"/>
    <mergeCell ref="C13:J13"/>
    <mergeCell ref="B303:J303"/>
    <mergeCell ref="B2:J2"/>
  </mergeCells>
  <dataValidations count="4">
    <dataValidation sqref="E6" showDropDown="0" showInputMessage="0" showErrorMessage="0" allowBlank="1" type="list">
      <formula1>"NEW,RUNNING,SUCCESS,FAILED"</formula1>
    </dataValidation>
    <dataValidation sqref="D17:D216" showDropDown="0" showInputMessage="0" showErrorMessage="0" allowBlank="1" type="list">
      <formula1>"data,normalize,assumptions,model,checks,publish"</formula1>
    </dataValidation>
    <dataValidation sqref="E17:E216" showDropDown="0" showInputMessage="0" showErrorMessage="0" allowBlank="1" type="list">
      <formula1>"FETCH,WRITE,CALC,READ,VALIDATE,EXPORT"</formula1>
    </dataValidation>
    <dataValidation sqref="I221:I300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2026-02-12T20:55:20Z</dcterms:created>
  <dcterms:modified xmlns:dcterms="http://purl.org/dc/terms/" xmlns:xsi="http://www.w3.org/2001/XMLSchema-instance" xsi:type="dcterms:W3CDTF">2026-02-13T15:38:08Z</dcterms:modified>
</cp:coreProperties>
</file>